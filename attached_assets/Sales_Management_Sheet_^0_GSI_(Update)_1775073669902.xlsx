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d.docs.live.net/089184c13b38d493/Desktop/ส่งพี่แชมป์/Daily/2026/4.Apr/"/>
    </mc:Choice>
  </mc:AlternateContent>
  <xr:revisionPtr revIDLastSave="1" documentId="8_{5B222EF3-E34E-4141-ACEB-955B43F8402D}" xr6:coauthVersionLast="47" xr6:coauthVersionMax="47" xr10:uidLastSave="{F2978D42-F988-41A7-93C3-3A2E7B247A99}"/>
  <bookViews>
    <workbookView xWindow="-120" yWindow="-120" windowWidth="24240" windowHeight="13020" tabRatio="606" firstSheet="2" activeTab="2" xr2:uid="{E7C6256E-3111-4819-B4D1-1091B45251A7}"/>
  </bookViews>
  <sheets>
    <sheet name="Instruction1" sheetId="18" r:id="rId1"/>
    <sheet name="Instruction(สูตร)" sheetId="19" state="hidden" r:id="rId2"/>
    <sheet name="Sales Management Sheet" sheetId="14" r:id="rId3"/>
    <sheet name=" GSI สาขาที่มี Delivery" sheetId="20" r:id="rId4"/>
    <sheet name="COL Daily" sheetId="23" state="hidden" r:id="rId5"/>
    <sheet name="GSI สาขาที่ไม่มี Delivery" sheetId="21" state="hidden" r:id="rId6"/>
    <sheet name="BY SEG" sheetId="16" state="hidden" r:id="rId7"/>
    <sheet name="Sheet1" sheetId="22" state="hidden" r:id="rId8"/>
  </sheets>
  <calcPr calcId="181029"/>
</workbook>
</file>

<file path=xl/calcChain.xml><?xml version="1.0" encoding="utf-8"?>
<calcChain xmlns="http://schemas.openxmlformats.org/spreadsheetml/2006/main">
  <c r="AO6" i="14" l="1"/>
  <c r="G35" i="14"/>
  <c r="M33" i="14"/>
  <c r="M34" i="14" s="1"/>
  <c r="M4" i="14"/>
  <c r="M5" i="14" s="1"/>
  <c r="M6" i="14" s="1"/>
  <c r="M7" i="14" s="1"/>
  <c r="M8" i="14" s="1"/>
  <c r="M9" i="14" s="1"/>
  <c r="M10" i="14" s="1"/>
  <c r="M11" i="14" s="1"/>
  <c r="M12" i="14" s="1"/>
  <c r="M13" i="14" s="1"/>
  <c r="M14" i="14" s="1"/>
  <c r="M15" i="14" s="1"/>
  <c r="M16" i="14" s="1"/>
  <c r="M17" i="14" s="1"/>
  <c r="M18" i="14" s="1"/>
  <c r="M19" i="14" s="1"/>
  <c r="M20" i="14" s="1"/>
  <c r="M21" i="14" s="1"/>
  <c r="M22" i="14" s="1"/>
  <c r="M23" i="14" s="1"/>
  <c r="M24" i="14" s="1"/>
  <c r="M25" i="14" s="1"/>
  <c r="M26" i="14" s="1"/>
  <c r="M27" i="14" s="1"/>
  <c r="M28" i="14" s="1"/>
  <c r="M29" i="14" s="1"/>
  <c r="M30" i="14" s="1"/>
  <c r="M31" i="14" s="1"/>
  <c r="M32" i="14" s="1"/>
  <c r="D8" i="23"/>
  <c r="E8" i="23" s="1"/>
  <c r="D9" i="23"/>
  <c r="D10" i="23"/>
  <c r="D11" i="23"/>
  <c r="E11" i="23" s="1"/>
  <c r="D12" i="23"/>
  <c r="E12" i="23" s="1"/>
  <c r="D13" i="23"/>
  <c r="E13" i="23" s="1"/>
  <c r="D14" i="23"/>
  <c r="E14" i="23" s="1"/>
  <c r="D15" i="23"/>
  <c r="E15" i="23" s="1"/>
  <c r="D16" i="23"/>
  <c r="E16" i="23" s="1"/>
  <c r="D17" i="23"/>
  <c r="E17" i="23" s="1"/>
  <c r="D18" i="23"/>
  <c r="E18" i="23" s="1"/>
  <c r="D19" i="23"/>
  <c r="E19" i="23" s="1"/>
  <c r="D20" i="23"/>
  <c r="E20" i="23" s="1"/>
  <c r="D21" i="23"/>
  <c r="E21" i="23" s="1"/>
  <c r="D22" i="23"/>
  <c r="E22" i="23" s="1"/>
  <c r="D23" i="23"/>
  <c r="E23" i="23" s="1"/>
  <c r="D24" i="23"/>
  <c r="D25" i="23"/>
  <c r="E25" i="23" s="1"/>
  <c r="D26" i="23"/>
  <c r="E26" i="23" s="1"/>
  <c r="D27" i="23"/>
  <c r="E27" i="23" s="1"/>
  <c r="D28" i="23"/>
  <c r="E28" i="23" s="1"/>
  <c r="D29" i="23"/>
  <c r="E29" i="23" s="1"/>
  <c r="D30" i="23"/>
  <c r="E30" i="23" s="1"/>
  <c r="D31" i="23"/>
  <c r="E31" i="23" s="1"/>
  <c r="D32" i="23"/>
  <c r="E32" i="23" s="1"/>
  <c r="D33" i="23"/>
  <c r="E33" i="23" s="1"/>
  <c r="D34" i="23"/>
  <c r="E34" i="23" s="1"/>
  <c r="D35" i="23"/>
  <c r="E35" i="23" s="1"/>
  <c r="D36" i="23"/>
  <c r="D7" i="23"/>
  <c r="E7" i="23" s="1"/>
  <c r="D6" i="23"/>
  <c r="E6" i="23" s="1"/>
  <c r="AE27" i="14"/>
  <c r="K10" i="23"/>
  <c r="K11" i="23"/>
  <c r="K12" i="23"/>
  <c r="K13" i="23"/>
  <c r="K14" i="23"/>
  <c r="K15" i="23"/>
  <c r="K16" i="23"/>
  <c r="K17" i="23"/>
  <c r="K18" i="23"/>
  <c r="K19" i="23"/>
  <c r="K20" i="23"/>
  <c r="K21" i="23"/>
  <c r="K22" i="23"/>
  <c r="K23" i="23"/>
  <c r="K24" i="23"/>
  <c r="K25" i="23"/>
  <c r="K26" i="23"/>
  <c r="K27" i="23"/>
  <c r="K28" i="23"/>
  <c r="K29" i="23"/>
  <c r="K30" i="23"/>
  <c r="K31" i="23"/>
  <c r="K32" i="23"/>
  <c r="K33" i="23"/>
  <c r="K34" i="23"/>
  <c r="K35" i="23"/>
  <c r="K36" i="23"/>
  <c r="K9" i="23"/>
  <c r="K8" i="23"/>
  <c r="K7" i="23"/>
  <c r="K6" i="23"/>
  <c r="L6" i="23" s="1"/>
  <c r="F37" i="23"/>
  <c r="G36" i="23"/>
  <c r="E36" i="23"/>
  <c r="G35" i="23"/>
  <c r="G34" i="23"/>
  <c r="G33" i="23"/>
  <c r="G32" i="23"/>
  <c r="G31" i="23"/>
  <c r="G30" i="23"/>
  <c r="G29" i="23"/>
  <c r="G28" i="23"/>
  <c r="G27" i="23"/>
  <c r="G26" i="23"/>
  <c r="G37" i="23" s="1"/>
  <c r="G25" i="23"/>
  <c r="G24" i="23"/>
  <c r="E24" i="23"/>
  <c r="G23" i="23"/>
  <c r="G22" i="23"/>
  <c r="G21" i="23"/>
  <c r="G20" i="23"/>
  <c r="G19" i="23"/>
  <c r="G18" i="23"/>
  <c r="G17" i="23"/>
  <c r="G16" i="23"/>
  <c r="G15" i="23"/>
  <c r="G14" i="23"/>
  <c r="G13" i="23"/>
  <c r="G12" i="23"/>
  <c r="G11" i="23"/>
  <c r="G10" i="23"/>
  <c r="E10" i="23"/>
  <c r="G9" i="23"/>
  <c r="E9" i="23"/>
  <c r="G8" i="23"/>
  <c r="G7" i="23"/>
  <c r="G6" i="23"/>
  <c r="A6" i="23"/>
  <c r="B6" i="23" s="1"/>
  <c r="L35" i="14"/>
  <c r="F10" i="21"/>
  <c r="F6" i="21"/>
  <c r="F7" i="21"/>
  <c r="F8" i="21"/>
  <c r="F9" i="21"/>
  <c r="F11" i="21"/>
  <c r="F12" i="21"/>
  <c r="B12" i="21"/>
  <c r="F13" i="21"/>
  <c r="F14" i="21"/>
  <c r="F15" i="21"/>
  <c r="F16" i="21"/>
  <c r="F17" i="21"/>
  <c r="F18" i="21"/>
  <c r="F19" i="21"/>
  <c r="B19" i="21"/>
  <c r="F20" i="21"/>
  <c r="B20" i="21"/>
  <c r="F21" i="21"/>
  <c r="F22" i="21"/>
  <c r="F23" i="21"/>
  <c r="F24" i="21"/>
  <c r="F25" i="21"/>
  <c r="F26" i="21"/>
  <c r="F27" i="21"/>
  <c r="F28" i="21"/>
  <c r="B28" i="21"/>
  <c r="F29" i="21"/>
  <c r="F30" i="21"/>
  <c r="F31" i="21"/>
  <c r="F32" i="21"/>
  <c r="F33" i="21"/>
  <c r="F34" i="21"/>
  <c r="F35" i="21"/>
  <c r="F5" i="21"/>
  <c r="D6" i="21"/>
  <c r="B6" i="21"/>
  <c r="D7" i="21"/>
  <c r="B7" i="21"/>
  <c r="D8" i="21"/>
  <c r="B8" i="21"/>
  <c r="D9" i="21"/>
  <c r="B9" i="21"/>
  <c r="D10" i="21"/>
  <c r="D11" i="21"/>
  <c r="B11" i="21"/>
  <c r="D12" i="21"/>
  <c r="D13" i="21"/>
  <c r="B13" i="21"/>
  <c r="D14" i="21"/>
  <c r="B14" i="21"/>
  <c r="D15" i="21"/>
  <c r="B15" i="21"/>
  <c r="D16" i="21"/>
  <c r="B16" i="21"/>
  <c r="D17" i="21"/>
  <c r="B17" i="21"/>
  <c r="D18" i="21"/>
  <c r="B18" i="21"/>
  <c r="D19" i="21"/>
  <c r="D20" i="21"/>
  <c r="D21" i="21"/>
  <c r="B21" i="21"/>
  <c r="D22" i="21"/>
  <c r="B22" i="21"/>
  <c r="D23" i="21"/>
  <c r="B23" i="21"/>
  <c r="D24" i="21"/>
  <c r="B24" i="21"/>
  <c r="D25" i="21"/>
  <c r="B25" i="21"/>
  <c r="D26" i="21"/>
  <c r="B26" i="21"/>
  <c r="D27" i="21"/>
  <c r="B27" i="21"/>
  <c r="D28" i="21"/>
  <c r="D29" i="21"/>
  <c r="D30" i="21"/>
  <c r="B30" i="21"/>
  <c r="D31" i="21"/>
  <c r="B31" i="21"/>
  <c r="D32" i="21"/>
  <c r="B32" i="21"/>
  <c r="D33" i="21"/>
  <c r="B33" i="21"/>
  <c r="D34" i="21"/>
  <c r="B34" i="21"/>
  <c r="D35" i="21"/>
  <c r="B35" i="21"/>
  <c r="D5" i="21"/>
  <c r="E36" i="21"/>
  <c r="F36" i="21"/>
  <c r="C36" i="21"/>
  <c r="D36" i="21"/>
  <c r="B36" i="21"/>
  <c r="A6" i="21"/>
  <c r="A7" i="21"/>
  <c r="A8" i="21"/>
  <c r="A9" i="21"/>
  <c r="A10" i="21"/>
  <c r="A11" i="21"/>
  <c r="A12" i="21"/>
  <c r="A13" i="21"/>
  <c r="A14" i="21"/>
  <c r="A15" i="21"/>
  <c r="A16" i="21"/>
  <c r="A17" i="21"/>
  <c r="A18" i="21"/>
  <c r="A19" i="21"/>
  <c r="A20" i="21"/>
  <c r="A21" i="21"/>
  <c r="A22" i="21"/>
  <c r="A23" i="21"/>
  <c r="A24" i="21"/>
  <c r="A25" i="21"/>
  <c r="A26" i="21"/>
  <c r="A27" i="21"/>
  <c r="A28" i="21"/>
  <c r="A29" i="21"/>
  <c r="A30" i="21"/>
  <c r="A31" i="21"/>
  <c r="A32" i="21"/>
  <c r="A33" i="21"/>
  <c r="A34" i="21"/>
  <c r="A35" i="21"/>
  <c r="A6" i="20"/>
  <c r="A7" i="20" s="1"/>
  <c r="A8" i="20" s="1"/>
  <c r="A9" i="20" s="1"/>
  <c r="A10" i="20" s="1"/>
  <c r="A11" i="20" s="1"/>
  <c r="A12" i="20" s="1"/>
  <c r="A13" i="20" s="1"/>
  <c r="A14" i="20" s="1"/>
  <c r="A15" i="20" s="1"/>
  <c r="A16" i="20" s="1"/>
  <c r="A17" i="20" s="1"/>
  <c r="A18" i="20" s="1"/>
  <c r="A19" i="20" s="1"/>
  <c r="A20" i="20" s="1"/>
  <c r="A21" i="20" s="1"/>
  <c r="A22" i="20" s="1"/>
  <c r="A23" i="20" s="1"/>
  <c r="A24" i="20" s="1"/>
  <c r="A25" i="20" s="1"/>
  <c r="A26" i="20" s="1"/>
  <c r="A27" i="20" s="1"/>
  <c r="A28" i="20" s="1"/>
  <c r="A29" i="20" s="1"/>
  <c r="A30" i="20" s="1"/>
  <c r="A31" i="20" s="1"/>
  <c r="A32" i="20" s="1"/>
  <c r="A33" i="20" s="1"/>
  <c r="A34" i="20" s="1"/>
  <c r="A35" i="20" s="1"/>
  <c r="C36" i="20"/>
  <c r="D36" i="20" s="1"/>
  <c r="H6" i="20"/>
  <c r="H7" i="20"/>
  <c r="H8" i="20"/>
  <c r="H9" i="20"/>
  <c r="H10" i="20"/>
  <c r="H11" i="20"/>
  <c r="H12" i="20"/>
  <c r="H13" i="20"/>
  <c r="H14" i="20"/>
  <c r="H15" i="20"/>
  <c r="H16" i="20"/>
  <c r="H17" i="20"/>
  <c r="H18" i="20"/>
  <c r="H19" i="20"/>
  <c r="H20" i="20"/>
  <c r="H21" i="20"/>
  <c r="H22" i="20"/>
  <c r="H23" i="20"/>
  <c r="H24" i="20"/>
  <c r="H25" i="20"/>
  <c r="H26" i="20"/>
  <c r="H27" i="20"/>
  <c r="H28" i="20"/>
  <c r="H29" i="20"/>
  <c r="H30" i="20"/>
  <c r="H31" i="20"/>
  <c r="H32" i="20"/>
  <c r="H33" i="20"/>
  <c r="H34" i="20"/>
  <c r="H35" i="20"/>
  <c r="F6" i="20"/>
  <c r="F7" i="20"/>
  <c r="F8" i="20"/>
  <c r="F9" i="20"/>
  <c r="B9" i="20" s="1"/>
  <c r="F10" i="20"/>
  <c r="B10" i="20" s="1"/>
  <c r="F11" i="20"/>
  <c r="F12" i="20"/>
  <c r="F13" i="20"/>
  <c r="F14" i="20"/>
  <c r="F15" i="20"/>
  <c r="F16" i="20"/>
  <c r="F17" i="20"/>
  <c r="F18" i="20"/>
  <c r="F19" i="20"/>
  <c r="F20" i="20"/>
  <c r="F21" i="20"/>
  <c r="F22" i="20"/>
  <c r="F23" i="20"/>
  <c r="F24" i="20"/>
  <c r="F25" i="20"/>
  <c r="F26" i="20"/>
  <c r="F27" i="20"/>
  <c r="F28" i="20"/>
  <c r="F29" i="20"/>
  <c r="F30" i="20"/>
  <c r="F31" i="20"/>
  <c r="F32" i="20"/>
  <c r="F33" i="20"/>
  <c r="F34" i="20"/>
  <c r="F35" i="20"/>
  <c r="D6" i="20"/>
  <c r="D7" i="20"/>
  <c r="D8" i="20"/>
  <c r="D9" i="20"/>
  <c r="D10" i="20"/>
  <c r="D11" i="20"/>
  <c r="D12" i="20"/>
  <c r="D13" i="20"/>
  <c r="D14" i="20"/>
  <c r="D15" i="20"/>
  <c r="D16" i="20"/>
  <c r="D17" i="20"/>
  <c r="D18" i="20"/>
  <c r="D19" i="20"/>
  <c r="D20" i="20"/>
  <c r="D21" i="20"/>
  <c r="D22" i="20"/>
  <c r="D23" i="20"/>
  <c r="D24" i="20"/>
  <c r="D25" i="20"/>
  <c r="D26" i="20"/>
  <c r="D27" i="20"/>
  <c r="D28" i="20"/>
  <c r="D29" i="20"/>
  <c r="D30" i="20"/>
  <c r="D31" i="20"/>
  <c r="D32" i="20"/>
  <c r="D33" i="20"/>
  <c r="D34" i="20"/>
  <c r="D35" i="20"/>
  <c r="H5" i="20"/>
  <c r="F5" i="20"/>
  <c r="D5" i="20"/>
  <c r="E36" i="20"/>
  <c r="F36" i="20" s="1"/>
  <c r="G36" i="20"/>
  <c r="H36" i="20" s="1"/>
  <c r="A4" i="14"/>
  <c r="A4" i="16" s="1"/>
  <c r="B5" i="14"/>
  <c r="B6" i="14" s="1"/>
  <c r="A6" i="14" s="1"/>
  <c r="A6" i="16" s="1"/>
  <c r="B10" i="21"/>
  <c r="B29" i="21"/>
  <c r="B5" i="21"/>
  <c r="S5" i="14"/>
  <c r="S7" i="14"/>
  <c r="AJ4" i="14"/>
  <c r="AP4" i="14" s="1"/>
  <c r="AQ4" i="14" s="1"/>
  <c r="AE4" i="14"/>
  <c r="AC4" i="14"/>
  <c r="V35" i="14"/>
  <c r="S4" i="14"/>
  <c r="R35" i="14"/>
  <c r="S34" i="14"/>
  <c r="S33" i="14"/>
  <c r="S32" i="14"/>
  <c r="S31" i="14"/>
  <c r="S30" i="14"/>
  <c r="S29" i="14"/>
  <c r="S28" i="14"/>
  <c r="S27" i="14"/>
  <c r="S26" i="14"/>
  <c r="S25" i="14"/>
  <c r="S24" i="14"/>
  <c r="S23" i="14"/>
  <c r="S22" i="14"/>
  <c r="S21" i="14"/>
  <c r="S20" i="14"/>
  <c r="S19" i="14"/>
  <c r="S18" i="14"/>
  <c r="S17" i="14"/>
  <c r="S16" i="14"/>
  <c r="S15" i="14"/>
  <c r="S14" i="14"/>
  <c r="S13" i="14"/>
  <c r="S12" i="14"/>
  <c r="S11" i="14"/>
  <c r="S10" i="14"/>
  <c r="S9" i="14"/>
  <c r="S8" i="14"/>
  <c r="S6" i="14"/>
  <c r="AW35" i="14"/>
  <c r="AT35" i="14"/>
  <c r="AK35" i="14"/>
  <c r="AJ32" i="14"/>
  <c r="AP32" i="14" s="1"/>
  <c r="AJ33" i="14"/>
  <c r="AP33" i="14" s="1"/>
  <c r="AJ34" i="14"/>
  <c r="AP34" i="14" s="1"/>
  <c r="AH35" i="14"/>
  <c r="AG35" i="14"/>
  <c r="AE34" i="14"/>
  <c r="AC33" i="14"/>
  <c r="AC34" i="14"/>
  <c r="AD4" i="14"/>
  <c r="W4" i="14"/>
  <c r="W5" i="14" s="1"/>
  <c r="W6" i="14" s="1"/>
  <c r="W7" i="14" s="1"/>
  <c r="W8" i="14" s="1"/>
  <c r="W9" i="14" s="1"/>
  <c r="W10" i="14" s="1"/>
  <c r="W11" i="14" s="1"/>
  <c r="W12" i="14" s="1"/>
  <c r="W13" i="14" s="1"/>
  <c r="W14" i="14" s="1"/>
  <c r="W15" i="14" s="1"/>
  <c r="W16" i="14" s="1"/>
  <c r="W17" i="14" s="1"/>
  <c r="W18" i="14" s="1"/>
  <c r="W19" i="14" s="1"/>
  <c r="W20" i="14" s="1"/>
  <c r="W21" i="14" s="1"/>
  <c r="W22" i="14" s="1"/>
  <c r="W23" i="14" s="1"/>
  <c r="W24" i="14" s="1"/>
  <c r="W25" i="14" s="1"/>
  <c r="W26" i="14" s="1"/>
  <c r="W27" i="14" s="1"/>
  <c r="W28" i="14" s="1"/>
  <c r="W29" i="14" s="1"/>
  <c r="W30" i="14" s="1"/>
  <c r="W31" i="14" s="1"/>
  <c r="W32" i="14" s="1"/>
  <c r="W33" i="14" s="1"/>
  <c r="W34" i="14" s="1"/>
  <c r="W35" i="14" s="1"/>
  <c r="U4" i="14"/>
  <c r="U5" i="14" s="1"/>
  <c r="U6" i="14" s="1"/>
  <c r="U7" i="14" s="1"/>
  <c r="U8" i="14" s="1"/>
  <c r="U9" i="14" s="1"/>
  <c r="U10" i="14" s="1"/>
  <c r="U11" i="14" s="1"/>
  <c r="U12" i="14" s="1"/>
  <c r="U13" i="14" s="1"/>
  <c r="U14" i="14" s="1"/>
  <c r="U15" i="14" s="1"/>
  <c r="U16" i="14" s="1"/>
  <c r="U17" i="14" s="1"/>
  <c r="U18" i="14" s="1"/>
  <c r="U19" i="14" s="1"/>
  <c r="U20" i="14" s="1"/>
  <c r="U21" i="14" s="1"/>
  <c r="U22" i="14" s="1"/>
  <c r="U23" i="14" s="1"/>
  <c r="U24" i="14" s="1"/>
  <c r="U25" i="14" s="1"/>
  <c r="U26" i="14" s="1"/>
  <c r="U27" i="14" s="1"/>
  <c r="U28" i="14" s="1"/>
  <c r="U29" i="14" s="1"/>
  <c r="U30" i="14" s="1"/>
  <c r="U31" i="14" s="1"/>
  <c r="U32" i="14" s="1"/>
  <c r="U33" i="14" s="1"/>
  <c r="U34" i="14" s="1"/>
  <c r="U35" i="14" s="1"/>
  <c r="H35" i="14"/>
  <c r="AM18" i="14"/>
  <c r="AO18" i="14" s="1"/>
  <c r="D4" i="14"/>
  <c r="D5" i="14" s="1"/>
  <c r="D6" i="14" s="1"/>
  <c r="D7" i="14" s="1"/>
  <c r="D8" i="14" s="1"/>
  <c r="D9" i="14" s="1"/>
  <c r="D10" i="14" s="1"/>
  <c r="D11" i="14" s="1"/>
  <c r="D12" i="14" s="1"/>
  <c r="D13" i="14" s="1"/>
  <c r="D14" i="14" s="1"/>
  <c r="D15" i="14" s="1"/>
  <c r="D16" i="14" s="1"/>
  <c r="D17" i="14" s="1"/>
  <c r="D18" i="14" s="1"/>
  <c r="D19" i="14" s="1"/>
  <c r="D20" i="14" s="1"/>
  <c r="D21" i="14" s="1"/>
  <c r="D22" i="14" s="1"/>
  <c r="D23" i="14" s="1"/>
  <c r="D24" i="14" s="1"/>
  <c r="D25" i="14" s="1"/>
  <c r="D26" i="14" s="1"/>
  <c r="D27" i="14" s="1"/>
  <c r="D28" i="14" s="1"/>
  <c r="D29" i="14" s="1"/>
  <c r="D30" i="14" s="1"/>
  <c r="D31" i="14" s="1"/>
  <c r="D32" i="14" s="1"/>
  <c r="D33" i="14" s="1"/>
  <c r="D34" i="14" s="1"/>
  <c r="D35" i="14" s="1"/>
  <c r="AM34" i="14"/>
  <c r="AO34" i="14" s="1"/>
  <c r="O31" i="14"/>
  <c r="P31" i="14" s="1"/>
  <c r="O32" i="14"/>
  <c r="P32" i="14" s="1"/>
  <c r="O33" i="14"/>
  <c r="P33" i="14" s="1"/>
  <c r="O34" i="14"/>
  <c r="P34" i="14" s="1"/>
  <c r="AM33" i="14"/>
  <c r="AO33" i="14" s="1"/>
  <c r="AE33" i="14"/>
  <c r="AM32" i="14"/>
  <c r="AO32" i="14" s="1"/>
  <c r="AC32" i="14"/>
  <c r="AE32" i="14"/>
  <c r="AD34" i="14"/>
  <c r="AD33" i="14"/>
  <c r="AD32" i="14"/>
  <c r="T35" i="14"/>
  <c r="J34" i="14"/>
  <c r="J33" i="14"/>
  <c r="J32" i="14"/>
  <c r="AE23" i="14"/>
  <c r="AE22" i="14"/>
  <c r="AE21" i="14"/>
  <c r="AE19" i="14"/>
  <c r="AD20" i="14"/>
  <c r="AI4" i="14"/>
  <c r="AI5" i="14" s="1"/>
  <c r="AI6" i="14" s="1"/>
  <c r="AI7" i="14" s="1"/>
  <c r="AI8" i="14" s="1"/>
  <c r="AI9" i="14" s="1"/>
  <c r="AI10" i="14" s="1"/>
  <c r="AI11" i="14" s="1"/>
  <c r="AI12" i="14" s="1"/>
  <c r="AI13" i="14" s="1"/>
  <c r="AI14" i="14" s="1"/>
  <c r="AI15" i="14" s="1"/>
  <c r="AI16" i="14" s="1"/>
  <c r="AI17" i="14" s="1"/>
  <c r="AI18" i="14" s="1"/>
  <c r="AI19" i="14" s="1"/>
  <c r="AI20" i="14" s="1"/>
  <c r="AI21" i="14" s="1"/>
  <c r="AI22" i="14" s="1"/>
  <c r="AI23" i="14" s="1"/>
  <c r="AI24" i="14" s="1"/>
  <c r="AI25" i="14" s="1"/>
  <c r="AI26" i="14" s="1"/>
  <c r="AI27" i="14" s="1"/>
  <c r="AI28" i="14" s="1"/>
  <c r="AI29" i="14" s="1"/>
  <c r="AI30" i="14" s="1"/>
  <c r="AI31" i="14" s="1"/>
  <c r="AI32" i="14" s="1"/>
  <c r="AI33" i="14" s="1"/>
  <c r="AI34" i="14" s="1"/>
  <c r="AI35" i="14" s="1"/>
  <c r="A1" i="16"/>
  <c r="X35" i="16"/>
  <c r="W35" i="16"/>
  <c r="V35" i="16"/>
  <c r="U35" i="16"/>
  <c r="T35" i="16"/>
  <c r="S35" i="16"/>
  <c r="R35" i="16"/>
  <c r="Q35" i="16"/>
  <c r="P35" i="16"/>
  <c r="O35" i="16"/>
  <c r="N35" i="16"/>
  <c r="M35" i="16"/>
  <c r="L35" i="16"/>
  <c r="K35" i="16"/>
  <c r="J35" i="16"/>
  <c r="I35" i="16"/>
  <c r="Y35" i="16"/>
  <c r="H35" i="16"/>
  <c r="G35" i="16"/>
  <c r="F35" i="16"/>
  <c r="E35" i="16"/>
  <c r="D35" i="16"/>
  <c r="C35" i="16"/>
  <c r="Y34" i="16"/>
  <c r="Y33" i="16"/>
  <c r="Y32" i="16"/>
  <c r="Y31" i="16"/>
  <c r="Y30" i="16"/>
  <c r="Y29" i="16"/>
  <c r="Y28" i="16"/>
  <c r="Y27" i="16"/>
  <c r="Y26" i="16"/>
  <c r="Y25" i="16"/>
  <c r="Y24" i="16"/>
  <c r="Y23" i="16"/>
  <c r="Y22" i="16"/>
  <c r="Y21" i="16"/>
  <c r="Y20" i="16"/>
  <c r="Y19" i="16"/>
  <c r="Y18" i="16"/>
  <c r="Y17" i="16"/>
  <c r="Y16" i="16"/>
  <c r="Y15" i="16"/>
  <c r="Y14" i="16"/>
  <c r="Y13" i="16"/>
  <c r="Y12" i="16"/>
  <c r="Y11" i="16"/>
  <c r="Y10" i="16"/>
  <c r="Y9" i="16"/>
  <c r="Y8" i="16"/>
  <c r="Y7" i="16"/>
  <c r="Y6" i="16"/>
  <c r="Y5" i="16"/>
  <c r="Y4" i="16"/>
  <c r="Z4" i="16"/>
  <c r="Z34" i="16"/>
  <c r="Z33" i="16"/>
  <c r="Z32" i="16"/>
  <c r="Z31" i="16"/>
  <c r="Z30" i="16"/>
  <c r="Z29" i="16"/>
  <c r="Z28" i="16"/>
  <c r="Z27" i="16"/>
  <c r="Z26" i="16"/>
  <c r="Z25" i="16"/>
  <c r="Z24" i="16"/>
  <c r="Z23" i="16"/>
  <c r="Z22" i="16"/>
  <c r="Z21" i="16"/>
  <c r="Z20" i="16"/>
  <c r="Z19" i="16"/>
  <c r="Z18" i="16"/>
  <c r="Z17" i="16"/>
  <c r="Z16" i="16"/>
  <c r="Z15" i="16"/>
  <c r="Z14" i="16"/>
  <c r="Z13" i="16"/>
  <c r="Z12" i="16"/>
  <c r="Z11" i="16"/>
  <c r="Z10" i="16"/>
  <c r="Z9" i="16"/>
  <c r="Z8" i="16"/>
  <c r="Z7" i="16"/>
  <c r="Z6" i="16"/>
  <c r="Z5" i="16"/>
  <c r="B4" i="16"/>
  <c r="AU4" i="14"/>
  <c r="AU5" i="14" s="1"/>
  <c r="AU6" i="14" s="1"/>
  <c r="AU7" i="14" s="1"/>
  <c r="AU8" i="14" s="1"/>
  <c r="BG4" i="14"/>
  <c r="BG5" i="14"/>
  <c r="BG6" i="14" s="1"/>
  <c r="BG7" i="14" s="1"/>
  <c r="Y4" i="14"/>
  <c r="O4" i="14"/>
  <c r="P4" i="14" s="1"/>
  <c r="F4" i="14"/>
  <c r="F5" i="14" s="1"/>
  <c r="F6" i="14" s="1"/>
  <c r="F7" i="14" s="1"/>
  <c r="F8" i="14" s="1"/>
  <c r="F9" i="14" s="1"/>
  <c r="F10" i="14" s="1"/>
  <c r="F11" i="14" s="1"/>
  <c r="F12" i="14" s="1"/>
  <c r="F13" i="14" s="1"/>
  <c r="F14" i="14" s="1"/>
  <c r="F15" i="14" s="1"/>
  <c r="F16" i="14" s="1"/>
  <c r="F17" i="14" s="1"/>
  <c r="F18" i="14" s="1"/>
  <c r="F19" i="14" s="1"/>
  <c r="F20" i="14" s="1"/>
  <c r="F21" i="14" s="1"/>
  <c r="F22" i="14" s="1"/>
  <c r="F23" i="14" s="1"/>
  <c r="F24" i="14" s="1"/>
  <c r="F25" i="14" s="1"/>
  <c r="F26" i="14" s="1"/>
  <c r="F27" i="14" s="1"/>
  <c r="F28" i="14" s="1"/>
  <c r="F29" i="14" s="1"/>
  <c r="F30" i="14" s="1"/>
  <c r="F31" i="14" s="1"/>
  <c r="F32" i="14" s="1"/>
  <c r="F33" i="14" s="1"/>
  <c r="F34" i="14" s="1"/>
  <c r="F35" i="14" s="1"/>
  <c r="BF35" i="14"/>
  <c r="BC35" i="14"/>
  <c r="AZ35" i="14"/>
  <c r="AX4" i="14"/>
  <c r="AX5" i="14" s="1"/>
  <c r="AX6" i="14" s="1"/>
  <c r="AX7" i="14" s="1"/>
  <c r="AX8" i="14" s="1"/>
  <c r="BD4" i="14"/>
  <c r="BD5" i="14" s="1"/>
  <c r="BA4" i="14"/>
  <c r="BA5" i="14" s="1"/>
  <c r="BA6" i="14" s="1"/>
  <c r="BA7" i="14" s="1"/>
  <c r="AM5" i="14"/>
  <c r="AM6" i="14"/>
  <c r="AM7" i="14"/>
  <c r="AO7" i="14" s="1"/>
  <c r="AM8" i="14"/>
  <c r="AO8" i="14" s="1"/>
  <c r="AM9" i="14"/>
  <c r="AO9" i="14" s="1"/>
  <c r="AM10" i="14"/>
  <c r="AO10" i="14" s="1"/>
  <c r="AM11" i="14"/>
  <c r="AO11" i="14" s="1"/>
  <c r="AM12" i="14"/>
  <c r="AO12" i="14" s="1"/>
  <c r="AM13" i="14"/>
  <c r="AO13" i="14" s="1"/>
  <c r="AM14" i="14"/>
  <c r="AO14" i="14" s="1"/>
  <c r="AM15" i="14"/>
  <c r="AO15" i="14" s="1"/>
  <c r="AM16" i="14"/>
  <c r="AO16" i="14" s="1"/>
  <c r="AM17" i="14"/>
  <c r="AO17" i="14" s="1"/>
  <c r="AM19" i="14"/>
  <c r="AO19" i="14" s="1"/>
  <c r="AM20" i="14"/>
  <c r="AO20" i="14" s="1"/>
  <c r="AM21" i="14"/>
  <c r="AO21" i="14" s="1"/>
  <c r="AM22" i="14"/>
  <c r="AO22" i="14" s="1"/>
  <c r="AM23" i="14"/>
  <c r="AO23" i="14" s="1"/>
  <c r="AM24" i="14"/>
  <c r="AO24" i="14" s="1"/>
  <c r="AM25" i="14"/>
  <c r="AO25" i="14" s="1"/>
  <c r="AM26" i="14"/>
  <c r="AO26" i="14" s="1"/>
  <c r="AM27" i="14"/>
  <c r="AO27" i="14" s="1"/>
  <c r="AM28" i="14"/>
  <c r="AO28" i="14" s="1"/>
  <c r="AM29" i="14"/>
  <c r="AO29" i="14" s="1"/>
  <c r="AM30" i="14"/>
  <c r="AO30" i="14" s="1"/>
  <c r="AM31" i="14"/>
  <c r="AO31" i="14" s="1"/>
  <c r="C35" i="14"/>
  <c r="X35" i="14"/>
  <c r="AJ31" i="14"/>
  <c r="AP31" i="14" s="1"/>
  <c r="AE31" i="14"/>
  <c r="AD31" i="14"/>
  <c r="AC31" i="14"/>
  <c r="J31" i="14"/>
  <c r="AJ30" i="14"/>
  <c r="AP30" i="14" s="1"/>
  <c r="AE30" i="14"/>
  <c r="AD30" i="14"/>
  <c r="AC30" i="14"/>
  <c r="O30" i="14"/>
  <c r="P30" i="14" s="1"/>
  <c r="J30" i="14"/>
  <c r="AJ29" i="14"/>
  <c r="AP29" i="14" s="1"/>
  <c r="AE29" i="14"/>
  <c r="AD29" i="14"/>
  <c r="AC29" i="14"/>
  <c r="O29" i="14"/>
  <c r="P29" i="14" s="1"/>
  <c r="J29" i="14"/>
  <c r="AJ28" i="14"/>
  <c r="AP28" i="14" s="1"/>
  <c r="AE28" i="14"/>
  <c r="AD28" i="14"/>
  <c r="AC28" i="14"/>
  <c r="O28" i="14"/>
  <c r="P28" i="14" s="1"/>
  <c r="J28" i="14"/>
  <c r="AJ27" i="14"/>
  <c r="AP27" i="14" s="1"/>
  <c r="AD27" i="14"/>
  <c r="AC27" i="14"/>
  <c r="O27" i="14"/>
  <c r="P27" i="14" s="1"/>
  <c r="J27" i="14"/>
  <c r="AJ26" i="14"/>
  <c r="AP26" i="14" s="1"/>
  <c r="AE26" i="14"/>
  <c r="AD26" i="14"/>
  <c r="AC26" i="14"/>
  <c r="O26" i="14"/>
  <c r="P26" i="14" s="1"/>
  <c r="J26" i="14"/>
  <c r="AJ25" i="14"/>
  <c r="AP25" i="14" s="1"/>
  <c r="AE25" i="14"/>
  <c r="AD25" i="14"/>
  <c r="AC25" i="14"/>
  <c r="O25" i="14"/>
  <c r="P25" i="14" s="1"/>
  <c r="J25" i="14"/>
  <c r="AJ24" i="14"/>
  <c r="AP24" i="14" s="1"/>
  <c r="AE24" i="14"/>
  <c r="AD24" i="14"/>
  <c r="AC24" i="14"/>
  <c r="O24" i="14"/>
  <c r="P24" i="14" s="1"/>
  <c r="J24" i="14"/>
  <c r="AJ23" i="14"/>
  <c r="AP23" i="14" s="1"/>
  <c r="AD23" i="14"/>
  <c r="AC23" i="14"/>
  <c r="O23" i="14"/>
  <c r="P23" i="14" s="1"/>
  <c r="J23" i="14"/>
  <c r="AJ22" i="14"/>
  <c r="AP22" i="14" s="1"/>
  <c r="AD22" i="14"/>
  <c r="AC22" i="14"/>
  <c r="O22" i="14"/>
  <c r="P22" i="14" s="1"/>
  <c r="J22" i="14"/>
  <c r="AJ21" i="14"/>
  <c r="AP21" i="14" s="1"/>
  <c r="AD21" i="14"/>
  <c r="AC21" i="14"/>
  <c r="O21" i="14"/>
  <c r="P21" i="14" s="1"/>
  <c r="J21" i="14"/>
  <c r="AJ20" i="14"/>
  <c r="AP20" i="14" s="1"/>
  <c r="AE20" i="14"/>
  <c r="AC20" i="14"/>
  <c r="O20" i="14"/>
  <c r="P20" i="14" s="1"/>
  <c r="J20" i="14"/>
  <c r="AJ19" i="14"/>
  <c r="AP19" i="14" s="1"/>
  <c r="AD19" i="14"/>
  <c r="AC19" i="14"/>
  <c r="O19" i="14"/>
  <c r="P19" i="14" s="1"/>
  <c r="J19" i="14"/>
  <c r="AJ18" i="14"/>
  <c r="AP18" i="14" s="1"/>
  <c r="AE18" i="14"/>
  <c r="AD18" i="14"/>
  <c r="AC18" i="14"/>
  <c r="O18" i="14"/>
  <c r="P18" i="14" s="1"/>
  <c r="J18" i="14"/>
  <c r="AJ17" i="14"/>
  <c r="AP17" i="14" s="1"/>
  <c r="AE17" i="14"/>
  <c r="AD17" i="14"/>
  <c r="AC17" i="14"/>
  <c r="O17" i="14"/>
  <c r="P17" i="14" s="1"/>
  <c r="J17" i="14"/>
  <c r="AJ16" i="14"/>
  <c r="AP16" i="14" s="1"/>
  <c r="AE16" i="14"/>
  <c r="AD16" i="14"/>
  <c r="AC16" i="14"/>
  <c r="O16" i="14"/>
  <c r="P16" i="14" s="1"/>
  <c r="J16" i="14"/>
  <c r="AJ15" i="14"/>
  <c r="AP15" i="14" s="1"/>
  <c r="AE15" i="14"/>
  <c r="AD15" i="14"/>
  <c r="AC15" i="14"/>
  <c r="O15" i="14"/>
  <c r="P15" i="14" s="1"/>
  <c r="J15" i="14"/>
  <c r="AJ14" i="14"/>
  <c r="AP14" i="14" s="1"/>
  <c r="AE14" i="14"/>
  <c r="AD14" i="14"/>
  <c r="AC14" i="14"/>
  <c r="O14" i="14"/>
  <c r="P14" i="14" s="1"/>
  <c r="J14" i="14"/>
  <c r="AJ13" i="14"/>
  <c r="AP13" i="14" s="1"/>
  <c r="AE13" i="14"/>
  <c r="AD13" i="14"/>
  <c r="AC13" i="14"/>
  <c r="O13" i="14"/>
  <c r="P13" i="14" s="1"/>
  <c r="J13" i="14"/>
  <c r="AJ12" i="14"/>
  <c r="AP12" i="14" s="1"/>
  <c r="AE12" i="14"/>
  <c r="AD12" i="14"/>
  <c r="AC12" i="14"/>
  <c r="O12" i="14"/>
  <c r="P12" i="14" s="1"/>
  <c r="J12" i="14"/>
  <c r="AJ11" i="14"/>
  <c r="AP11" i="14" s="1"/>
  <c r="AE11" i="14"/>
  <c r="AD11" i="14"/>
  <c r="AC11" i="14"/>
  <c r="O11" i="14"/>
  <c r="J11" i="14"/>
  <c r="AJ10" i="14"/>
  <c r="AP10" i="14" s="1"/>
  <c r="AE10" i="14"/>
  <c r="AD10" i="14"/>
  <c r="AC10" i="14"/>
  <c r="O10" i="14"/>
  <c r="P10" i="14" s="1"/>
  <c r="J10" i="14"/>
  <c r="AJ9" i="14"/>
  <c r="AP9" i="14" s="1"/>
  <c r="AE9" i="14"/>
  <c r="AD9" i="14"/>
  <c r="AC9" i="14"/>
  <c r="O9" i="14"/>
  <c r="P9" i="14" s="1"/>
  <c r="J9" i="14"/>
  <c r="AJ8" i="14"/>
  <c r="AP8" i="14" s="1"/>
  <c r="AE8" i="14"/>
  <c r="AC8" i="14"/>
  <c r="AJ7" i="14"/>
  <c r="AP7" i="14" s="1"/>
  <c r="AE7" i="14"/>
  <c r="AD7" i="14"/>
  <c r="AC7" i="14"/>
  <c r="O7" i="14"/>
  <c r="P7" i="14" s="1"/>
  <c r="J7" i="14"/>
  <c r="AJ6" i="14"/>
  <c r="AP6" i="14" s="1"/>
  <c r="AE6" i="14"/>
  <c r="AD6" i="14"/>
  <c r="AC6" i="14"/>
  <c r="O6" i="14"/>
  <c r="P6" i="14" s="1"/>
  <c r="J6" i="14"/>
  <c r="AJ5" i="14"/>
  <c r="AP5" i="14" s="1"/>
  <c r="AE5" i="14"/>
  <c r="AD5" i="14"/>
  <c r="AC5" i="14"/>
  <c r="O5" i="14"/>
  <c r="P5" i="14" s="1"/>
  <c r="J5" i="14"/>
  <c r="J4" i="14"/>
  <c r="K4" i="14" s="1"/>
  <c r="I4" i="14"/>
  <c r="I5" i="14" s="1"/>
  <c r="Z35" i="16"/>
  <c r="O8" i="14"/>
  <c r="P8" i="14" s="1"/>
  <c r="AD8" i="14"/>
  <c r="E35" i="14"/>
  <c r="J8" i="14"/>
  <c r="AM4" i="14"/>
  <c r="AN4" i="14" s="1"/>
  <c r="AL35" i="14"/>
  <c r="B35" i="20"/>
  <c r="B5" i="20"/>
  <c r="Z4" i="14" l="1"/>
  <c r="B29" i="20"/>
  <c r="Q4" i="14"/>
  <c r="B18" i="20"/>
  <c r="B6" i="20"/>
  <c r="B14" i="20"/>
  <c r="B32" i="20"/>
  <c r="B30" i="20"/>
  <c r="AS4" i="14"/>
  <c r="H7" i="23"/>
  <c r="M7" i="23" s="1"/>
  <c r="H21" i="23"/>
  <c r="M21" i="23" s="1"/>
  <c r="H22" i="23"/>
  <c r="M22" i="23" s="1"/>
  <c r="L7" i="23"/>
  <c r="L8" i="23" s="1"/>
  <c r="L9" i="23" s="1"/>
  <c r="L10" i="23" s="1"/>
  <c r="L11" i="23" s="1"/>
  <c r="L12" i="23" s="1"/>
  <c r="L13" i="23" s="1"/>
  <c r="L14" i="23" s="1"/>
  <c r="L15" i="23" s="1"/>
  <c r="L16" i="23" s="1"/>
  <c r="L17" i="23" s="1"/>
  <c r="L18" i="23" s="1"/>
  <c r="L19" i="23" s="1"/>
  <c r="L20" i="23" s="1"/>
  <c r="L21" i="23" s="1"/>
  <c r="L22" i="23" s="1"/>
  <c r="L23" i="23" s="1"/>
  <c r="L24" i="23" s="1"/>
  <c r="L25" i="23" s="1"/>
  <c r="L26" i="23" s="1"/>
  <c r="L27" i="23" s="1"/>
  <c r="L28" i="23" s="1"/>
  <c r="L29" i="23" s="1"/>
  <c r="L30" i="23" s="1"/>
  <c r="L31" i="23" s="1"/>
  <c r="L32" i="23" s="1"/>
  <c r="L33" i="23" s="1"/>
  <c r="L34" i="23" s="1"/>
  <c r="L35" i="23" s="1"/>
  <c r="L36" i="23" s="1"/>
  <c r="L37" i="23" s="1"/>
  <c r="H32" i="23"/>
  <c r="M32" i="23" s="1"/>
  <c r="H36" i="23"/>
  <c r="M36" i="23" s="1"/>
  <c r="H33" i="23"/>
  <c r="M33" i="23" s="1"/>
  <c r="Q5" i="14"/>
  <c r="H8" i="23"/>
  <c r="M8" i="23" s="1"/>
  <c r="H12" i="23"/>
  <c r="M12" i="23" s="1"/>
  <c r="H9" i="23"/>
  <c r="M9" i="23" s="1"/>
  <c r="H16" i="23"/>
  <c r="M16" i="23" s="1"/>
  <c r="B27" i="20"/>
  <c r="AF27" i="14"/>
  <c r="D37" i="23"/>
  <c r="H28" i="23"/>
  <c r="M28" i="23" s="1"/>
  <c r="H20" i="23"/>
  <c r="M20" i="23" s="1"/>
  <c r="H24" i="23"/>
  <c r="M24" i="23" s="1"/>
  <c r="H25" i="23"/>
  <c r="M25" i="23" s="1"/>
  <c r="H17" i="23"/>
  <c r="M17" i="23" s="1"/>
  <c r="H29" i="23"/>
  <c r="M29" i="23" s="1"/>
  <c r="H10" i="23"/>
  <c r="M10" i="23" s="1"/>
  <c r="H18" i="23"/>
  <c r="M18" i="23" s="1"/>
  <c r="H26" i="23"/>
  <c r="M26" i="23" s="1"/>
  <c r="H30" i="23"/>
  <c r="M30" i="23" s="1"/>
  <c r="H34" i="23"/>
  <c r="M34" i="23" s="1"/>
  <c r="H11" i="23"/>
  <c r="M11" i="23" s="1"/>
  <c r="H15" i="23"/>
  <c r="M15" i="23" s="1"/>
  <c r="H19" i="23"/>
  <c r="M19" i="23" s="1"/>
  <c r="H23" i="23"/>
  <c r="M23" i="23" s="1"/>
  <c r="H27" i="23"/>
  <c r="M27" i="23" s="1"/>
  <c r="H31" i="23"/>
  <c r="M31" i="23" s="1"/>
  <c r="H35" i="23"/>
  <c r="M35" i="23" s="1"/>
  <c r="H6" i="23"/>
  <c r="M6" i="23" s="1"/>
  <c r="E37" i="23"/>
  <c r="H14" i="23"/>
  <c r="M14" i="23" s="1"/>
  <c r="B24" i="20"/>
  <c r="B23" i="20"/>
  <c r="B19" i="20"/>
  <c r="B17" i="20"/>
  <c r="A7" i="23"/>
  <c r="B15" i="20"/>
  <c r="B7" i="20"/>
  <c r="B11" i="20"/>
  <c r="B8" i="20"/>
  <c r="A5" i="14"/>
  <c r="A5" i="16" s="1"/>
  <c r="AF34" i="14"/>
  <c r="B7" i="14"/>
  <c r="B7" i="16" s="1"/>
  <c r="AF12" i="14"/>
  <c r="B6" i="16"/>
  <c r="B5" i="16"/>
  <c r="AF25" i="14"/>
  <c r="AF29" i="14"/>
  <c r="AD35" i="14"/>
  <c r="B20" i="20"/>
  <c r="AC35" i="14"/>
  <c r="AF6" i="14"/>
  <c r="AF33" i="14"/>
  <c r="AF5" i="14"/>
  <c r="AF20" i="14"/>
  <c r="AF4" i="14"/>
  <c r="AY4" i="14"/>
  <c r="Y5" i="14"/>
  <c r="AB5" i="14" s="1"/>
  <c r="AB4" i="14"/>
  <c r="AA4" i="14"/>
  <c r="BB4" i="14"/>
  <c r="AV4" i="14"/>
  <c r="BE4" i="14"/>
  <c r="AF10" i="14"/>
  <c r="AF21" i="14"/>
  <c r="AN5" i="14"/>
  <c r="AN6" i="14" s="1"/>
  <c r="B34" i="20"/>
  <c r="B33" i="20"/>
  <c r="BD6" i="14"/>
  <c r="BD7" i="14" s="1"/>
  <c r="BD8" i="14" s="1"/>
  <c r="BD9" i="14" s="1"/>
  <c r="AF22" i="14"/>
  <c r="AF30" i="14"/>
  <c r="AF16" i="14"/>
  <c r="AF18" i="14"/>
  <c r="AF32" i="14"/>
  <c r="AO5" i="14"/>
  <c r="AF31" i="14"/>
  <c r="AF9" i="14"/>
  <c r="AF15" i="14"/>
  <c r="BH4" i="14"/>
  <c r="K5" i="14"/>
  <c r="N5" i="14" s="1"/>
  <c r="N4" i="14"/>
  <c r="AF7" i="14"/>
  <c r="B31" i="20"/>
  <c r="B28" i="20"/>
  <c r="AF24" i="14"/>
  <c r="AF23" i="14"/>
  <c r="B26" i="20"/>
  <c r="AF19" i="14"/>
  <c r="B21" i="20"/>
  <c r="AF26" i="14"/>
  <c r="AF28" i="14"/>
  <c r="B25" i="20"/>
  <c r="B22" i="20"/>
  <c r="B16" i="20"/>
  <c r="AQ5" i="14"/>
  <c r="AF14" i="14"/>
  <c r="J35" i="14"/>
  <c r="B13" i="20"/>
  <c r="AX9" i="14"/>
  <c r="BA8" i="14"/>
  <c r="AU9" i="14"/>
  <c r="AF17" i="14"/>
  <c r="BG8" i="14"/>
  <c r="AJ35" i="14"/>
  <c r="AF8" i="14"/>
  <c r="AR4" i="14"/>
  <c r="AO4" i="14"/>
  <c r="AF13" i="14"/>
  <c r="K37" i="23"/>
  <c r="AF11" i="14"/>
  <c r="AE35" i="14"/>
  <c r="N35" i="14"/>
  <c r="O35" i="14"/>
  <c r="S35" i="14"/>
  <c r="H13" i="23"/>
  <c r="M13" i="23" s="1"/>
  <c r="AO35" i="14"/>
  <c r="B12" i="20"/>
  <c r="B36" i="20"/>
  <c r="P11" i="14"/>
  <c r="AP35" i="14"/>
  <c r="AR35" i="14" s="1"/>
  <c r="AM35" i="14"/>
  <c r="C37" i="23"/>
  <c r="AR5" i="14" l="1"/>
  <c r="I6" i="14"/>
  <c r="I7" i="14" s="1"/>
  <c r="A7" i="14"/>
  <c r="A7" i="16" s="1"/>
  <c r="B8" i="14"/>
  <c r="B8" i="16" s="1"/>
  <c r="I6" i="23"/>
  <c r="N6" i="23" s="1"/>
  <c r="O6" i="23" s="1"/>
  <c r="B7" i="23"/>
  <c r="A8" i="23"/>
  <c r="AF35" i="14"/>
  <c r="Z5" i="14"/>
  <c r="AV5" i="14"/>
  <c r="AS5" i="14"/>
  <c r="BE5" i="14"/>
  <c r="Y6" i="14"/>
  <c r="Z6" i="14" s="1"/>
  <c r="BB5" i="14"/>
  <c r="AY5" i="14"/>
  <c r="K6" i="14"/>
  <c r="K7" i="14" s="1"/>
  <c r="AA5" i="14"/>
  <c r="BH5" i="14"/>
  <c r="AQ6" i="14"/>
  <c r="AR6" i="14" s="1"/>
  <c r="H37" i="23"/>
  <c r="M37" i="23" s="1"/>
  <c r="BG9" i="14"/>
  <c r="AU10" i="14"/>
  <c r="BA9" i="14"/>
  <c r="Q6" i="14"/>
  <c r="AX10" i="14"/>
  <c r="BD10" i="14"/>
  <c r="AN7" i="14"/>
  <c r="I7" i="23" l="1"/>
  <c r="I8" i="23" s="1"/>
  <c r="B9" i="14"/>
  <c r="B9" i="16" s="1"/>
  <c r="A8" i="14"/>
  <c r="A8" i="16" s="1"/>
  <c r="Y7" i="14"/>
  <c r="BE7" i="14" s="1"/>
  <c r="BH6" i="14"/>
  <c r="A9" i="23"/>
  <c r="B8" i="23"/>
  <c r="BB6" i="14"/>
  <c r="AS6" i="14"/>
  <c r="AV6" i="14"/>
  <c r="N6" i="14"/>
  <c r="AY6" i="14"/>
  <c r="BE6" i="14"/>
  <c r="AB6" i="14"/>
  <c r="AA6" i="14"/>
  <c r="AQ7" i="14"/>
  <c r="AQ8" i="14" s="1"/>
  <c r="AQ9" i="14" s="1"/>
  <c r="AQ10" i="14" s="1"/>
  <c r="K8" i="14"/>
  <c r="N7" i="14"/>
  <c r="N7" i="23"/>
  <c r="O7" i="23" s="1"/>
  <c r="BA10" i="14"/>
  <c r="AX11" i="14"/>
  <c r="AU11" i="14"/>
  <c r="B10" i="14"/>
  <c r="A9" i="14"/>
  <c r="A9" i="16" s="1"/>
  <c r="Q7" i="14"/>
  <c r="I8" i="14"/>
  <c r="BD11" i="14"/>
  <c r="BG10" i="14"/>
  <c r="AN8" i="14"/>
  <c r="N8" i="23"/>
  <c r="O8" i="23" s="1"/>
  <c r="I9" i="23"/>
  <c r="AV7" i="14" l="1"/>
  <c r="Y8" i="14"/>
  <c r="BB8" i="14" s="1"/>
  <c r="AB7" i="14"/>
  <c r="AY7" i="14"/>
  <c r="AS7" i="14"/>
  <c r="Z7" i="14"/>
  <c r="BB7" i="14"/>
  <c r="BH7" i="14"/>
  <c r="AA7" i="14"/>
  <c r="B9" i="23"/>
  <c r="A10" i="23"/>
  <c r="AR7" i="14"/>
  <c r="N8" i="14"/>
  <c r="K9" i="14"/>
  <c r="BD12" i="14"/>
  <c r="Q8" i="14"/>
  <c r="I9" i="14"/>
  <c r="AR8" i="14"/>
  <c r="BG11" i="14"/>
  <c r="AU12" i="14"/>
  <c r="AX12" i="14"/>
  <c r="B11" i="14"/>
  <c r="A10" i="14"/>
  <c r="A10" i="16" s="1"/>
  <c r="B10" i="16"/>
  <c r="BA11" i="14"/>
  <c r="AQ11" i="14"/>
  <c r="AN9" i="14"/>
  <c r="AS8" i="14"/>
  <c r="I10" i="23"/>
  <c r="N9" i="23"/>
  <c r="O9" i="23" s="1"/>
  <c r="AY8" i="14" l="1"/>
  <c r="AA8" i="14"/>
  <c r="AB8" i="14"/>
  <c r="Z8" i="14"/>
  <c r="BH8" i="14"/>
  <c r="Y9" i="14"/>
  <c r="AV9" i="14" s="1"/>
  <c r="AV8" i="14"/>
  <c r="BE8" i="14"/>
  <c r="B10" i="23"/>
  <c r="A11" i="23"/>
  <c r="BE9" i="14"/>
  <c r="AY9" i="14"/>
  <c r="K10" i="14"/>
  <c r="N9" i="14"/>
  <c r="AX13" i="14"/>
  <c r="A11" i="14"/>
  <c r="A11" i="16" s="1"/>
  <c r="B11" i="16"/>
  <c r="B12" i="14"/>
  <c r="Q9" i="14"/>
  <c r="I10" i="14"/>
  <c r="AR9" i="14"/>
  <c r="AU13" i="14"/>
  <c r="BG12" i="14"/>
  <c r="BG13" i="14" s="1"/>
  <c r="BA12" i="14"/>
  <c r="BD13" i="14"/>
  <c r="AQ12" i="14"/>
  <c r="AN10" i="14"/>
  <c r="N10" i="23"/>
  <c r="O10" i="23" s="1"/>
  <c r="I11" i="23"/>
  <c r="AS9" i="14" l="1"/>
  <c r="Z9" i="14"/>
  <c r="Y10" i="14"/>
  <c r="BH10" i="14" s="1"/>
  <c r="AA9" i="14"/>
  <c r="AB9" i="14"/>
  <c r="AB10" i="14"/>
  <c r="BB9" i="14"/>
  <c r="BH9" i="14"/>
  <c r="BE10" i="14"/>
  <c r="AV10" i="14"/>
  <c r="BB10" i="14"/>
  <c r="B11" i="23"/>
  <c r="A12" i="23"/>
  <c r="N10" i="14"/>
  <c r="K11" i="14"/>
  <c r="BA13" i="14"/>
  <c r="BG14" i="14"/>
  <c r="AU14" i="14"/>
  <c r="BD14" i="14"/>
  <c r="Q10" i="14"/>
  <c r="I11" i="14"/>
  <c r="AR10" i="14"/>
  <c r="A12" i="14"/>
  <c r="A12" i="16" s="1"/>
  <c r="B13" i="14"/>
  <c r="B12" i="16"/>
  <c r="AX14" i="14"/>
  <c r="AS10" i="14"/>
  <c r="AN11" i="14"/>
  <c r="AQ13" i="14"/>
  <c r="N11" i="23"/>
  <c r="O11" i="23" s="1"/>
  <c r="I12" i="23"/>
  <c r="AY10" i="14" l="1"/>
  <c r="Y11" i="14"/>
  <c r="BB11" i="14" s="1"/>
  <c r="AA10" i="14"/>
  <c r="Z10" i="14"/>
  <c r="BH11" i="14"/>
  <c r="AY11" i="14"/>
  <c r="AV11" i="14"/>
  <c r="BE11" i="14"/>
  <c r="A13" i="23"/>
  <c r="B12" i="23"/>
  <c r="Z11" i="14"/>
  <c r="AA11" i="14"/>
  <c r="N11" i="14"/>
  <c r="K12" i="14"/>
  <c r="BD15" i="14"/>
  <c r="Q11" i="14"/>
  <c r="I12" i="14"/>
  <c r="AR11" i="14"/>
  <c r="AU15" i="14"/>
  <c r="BG15" i="14"/>
  <c r="B13" i="16"/>
  <c r="A13" i="14"/>
  <c r="A13" i="16" s="1"/>
  <c r="B14" i="14"/>
  <c r="AX15" i="14"/>
  <c r="BA14" i="14"/>
  <c r="AN12" i="14"/>
  <c r="AS11" i="14"/>
  <c r="AQ14" i="14"/>
  <c r="N12" i="23"/>
  <c r="O12" i="23" s="1"/>
  <c r="I13" i="23"/>
  <c r="Y12" i="14" l="1"/>
  <c r="AB12" i="14" s="1"/>
  <c r="AB11" i="14"/>
  <c r="Z12" i="14"/>
  <c r="BH12" i="14"/>
  <c r="A14" i="23"/>
  <c r="B13" i="23"/>
  <c r="BB12" i="14"/>
  <c r="AV12" i="14"/>
  <c r="AY12" i="14"/>
  <c r="Y13" i="14"/>
  <c r="BH13" i="14" s="1"/>
  <c r="AA12" i="14"/>
  <c r="BE12" i="14"/>
  <c r="K13" i="14"/>
  <c r="N12" i="14"/>
  <c r="AX16" i="14"/>
  <c r="B14" i="16"/>
  <c r="A14" i="14"/>
  <c r="A14" i="16" s="1"/>
  <c r="B15" i="14"/>
  <c r="BG16" i="14"/>
  <c r="BA15" i="14"/>
  <c r="AU16" i="14"/>
  <c r="I13" i="14"/>
  <c r="Q12" i="14"/>
  <c r="AR12" i="14"/>
  <c r="BD16" i="14"/>
  <c r="AQ15" i="14"/>
  <c r="AN13" i="14"/>
  <c r="AS12" i="14"/>
  <c r="N13" i="23"/>
  <c r="O13" i="23" s="1"/>
  <c r="I14" i="23"/>
  <c r="Y14" i="14" l="1"/>
  <c r="BB14" i="14" s="1"/>
  <c r="AB13" i="14"/>
  <c r="AA13" i="14"/>
  <c r="Z13" i="14"/>
  <c r="B14" i="23"/>
  <c r="A15" i="23"/>
  <c r="BB13" i="14"/>
  <c r="AY13" i="14"/>
  <c r="BE13" i="14"/>
  <c r="AV13" i="14"/>
  <c r="N13" i="14"/>
  <c r="K14" i="14"/>
  <c r="I14" i="14"/>
  <c r="Q13" i="14"/>
  <c r="AR13" i="14"/>
  <c r="Z14" i="14"/>
  <c r="AA14" i="14"/>
  <c r="AY14" i="14"/>
  <c r="BH14" i="14"/>
  <c r="BE14" i="14"/>
  <c r="AV14" i="14"/>
  <c r="AX17" i="14"/>
  <c r="AU17" i="14"/>
  <c r="BA16" i="14"/>
  <c r="BD17" i="14"/>
  <c r="BG17" i="14"/>
  <c r="B16" i="14"/>
  <c r="A15" i="14"/>
  <c r="A15" i="16" s="1"/>
  <c r="B15" i="16"/>
  <c r="AQ16" i="14"/>
  <c r="AN14" i="14"/>
  <c r="AS13" i="14"/>
  <c r="N14" i="23"/>
  <c r="O14" i="23" s="1"/>
  <c r="I15" i="23"/>
  <c r="AB14" i="14" l="1"/>
  <c r="Y15" i="14"/>
  <c r="BB15" i="14" s="1"/>
  <c r="B15" i="23"/>
  <c r="A16" i="23"/>
  <c r="K15" i="14"/>
  <c r="N14" i="14"/>
  <c r="AA15" i="14"/>
  <c r="BH15" i="14"/>
  <c r="BE15" i="14"/>
  <c r="B17" i="14"/>
  <c r="A16" i="14"/>
  <c r="A16" i="16" s="1"/>
  <c r="B16" i="16"/>
  <c r="BD18" i="14"/>
  <c r="BA17" i="14"/>
  <c r="BG18" i="14"/>
  <c r="AX18" i="14"/>
  <c r="AU18" i="14"/>
  <c r="Q14" i="14"/>
  <c r="I15" i="14"/>
  <c r="AR14" i="14"/>
  <c r="AN15" i="14"/>
  <c r="AS14" i="14"/>
  <c r="AQ17" i="14"/>
  <c r="N15" i="23"/>
  <c r="O15" i="23" s="1"/>
  <c r="I16" i="23"/>
  <c r="Y16" i="14" l="1"/>
  <c r="BB16" i="14" s="1"/>
  <c r="AB15" i="14"/>
  <c r="Z15" i="14"/>
  <c r="AY15" i="14"/>
  <c r="AV15" i="14"/>
  <c r="B16" i="23"/>
  <c r="A17" i="23"/>
  <c r="N15" i="14"/>
  <c r="K16" i="14"/>
  <c r="A17" i="14"/>
  <c r="A17" i="16" s="1"/>
  <c r="B18" i="14"/>
  <c r="B17" i="16"/>
  <c r="AU19" i="14"/>
  <c r="BG19" i="14"/>
  <c r="AA16" i="14"/>
  <c r="Z16" i="14"/>
  <c r="AB16" i="14"/>
  <c r="Y17" i="14"/>
  <c r="AY16" i="14"/>
  <c r="AV16" i="14"/>
  <c r="BE16" i="14"/>
  <c r="BH16" i="14"/>
  <c r="AX19" i="14"/>
  <c r="BA18" i="14"/>
  <c r="BD19" i="14"/>
  <c r="I16" i="14"/>
  <c r="Q15" i="14"/>
  <c r="AR15" i="14"/>
  <c r="AQ18" i="14"/>
  <c r="AN16" i="14"/>
  <c r="AS15" i="14"/>
  <c r="N16" i="23"/>
  <c r="O16" i="23" s="1"/>
  <c r="I17" i="23"/>
  <c r="B17" i="23" l="1"/>
  <c r="A18" i="23"/>
  <c r="N16" i="14"/>
  <c r="K17" i="14"/>
  <c r="Y18" i="14"/>
  <c r="BB18" i="14" s="1"/>
  <c r="AB17" i="14"/>
  <c r="AA17" i="14"/>
  <c r="Z17" i="14"/>
  <c r="BE17" i="14"/>
  <c r="AV17" i="14"/>
  <c r="BH17" i="14"/>
  <c r="AY17" i="14"/>
  <c r="AX20" i="14"/>
  <c r="I17" i="14"/>
  <c r="Q16" i="14"/>
  <c r="AR16" i="14"/>
  <c r="BD20" i="14"/>
  <c r="BB17" i="14"/>
  <c r="BG20" i="14"/>
  <c r="B18" i="16"/>
  <c r="A18" i="14"/>
  <c r="A18" i="16" s="1"/>
  <c r="B19" i="14"/>
  <c r="BA19" i="14"/>
  <c r="AU20" i="14"/>
  <c r="AS16" i="14"/>
  <c r="AN17" i="14"/>
  <c r="AQ19" i="14"/>
  <c r="N17" i="23"/>
  <c r="O17" i="23" s="1"/>
  <c r="I18" i="23"/>
  <c r="B18" i="23" l="1"/>
  <c r="A19" i="23"/>
  <c r="K18" i="14"/>
  <c r="N17" i="14"/>
  <c r="BA20" i="14"/>
  <c r="A19" i="14"/>
  <c r="A19" i="16" s="1"/>
  <c r="B20" i="14"/>
  <c r="B19" i="16"/>
  <c r="Q17" i="14"/>
  <c r="I18" i="14"/>
  <c r="AR17" i="14"/>
  <c r="BG21" i="14"/>
  <c r="AU21" i="14"/>
  <c r="AX21" i="14"/>
  <c r="BD21" i="14"/>
  <c r="Z18" i="14"/>
  <c r="Y19" i="14"/>
  <c r="AA18" i="14"/>
  <c r="AB18" i="14"/>
  <c r="BH18" i="14"/>
  <c r="AY18" i="14"/>
  <c r="AV18" i="14"/>
  <c r="BE18" i="14"/>
  <c r="AQ20" i="14"/>
  <c r="AS17" i="14"/>
  <c r="AN18" i="14"/>
  <c r="N18" i="23"/>
  <c r="O18" i="23" s="1"/>
  <c r="I19" i="23"/>
  <c r="B19" i="23" l="1"/>
  <c r="A20" i="23"/>
  <c r="K19" i="14"/>
  <c r="N18" i="14"/>
  <c r="Q18" i="14"/>
  <c r="I19" i="14"/>
  <c r="AR18" i="14"/>
  <c r="AA19" i="14"/>
  <c r="Y20" i="14"/>
  <c r="Z19" i="14"/>
  <c r="AB19" i="14"/>
  <c r="AV19" i="14"/>
  <c r="BH19" i="14"/>
  <c r="BE19" i="14"/>
  <c r="AY19" i="14"/>
  <c r="BD22" i="14"/>
  <c r="AX22" i="14"/>
  <c r="BG22" i="14"/>
  <c r="B20" i="16"/>
  <c r="B21" i="14"/>
  <c r="A20" i="14"/>
  <c r="A20" i="16" s="1"/>
  <c r="BB19" i="14"/>
  <c r="AU22" i="14"/>
  <c r="BA21" i="14"/>
  <c r="AS18" i="14"/>
  <c r="AN19" i="14"/>
  <c r="AQ21" i="14"/>
  <c r="I20" i="23"/>
  <c r="N19" i="23"/>
  <c r="O19" i="23" s="1"/>
  <c r="A21" i="23" l="1"/>
  <c r="B20" i="23"/>
  <c r="N19" i="14"/>
  <c r="K20" i="14"/>
  <c r="AU23" i="14"/>
  <c r="BG23" i="14"/>
  <c r="BD23" i="14"/>
  <c r="A21" i="14"/>
  <c r="A21" i="16" s="1"/>
  <c r="B22" i="14"/>
  <c r="B21" i="16"/>
  <c r="Z20" i="14"/>
  <c r="AB20" i="14"/>
  <c r="AA20" i="14"/>
  <c r="Y21" i="14"/>
  <c r="BB21" i="14" s="1"/>
  <c r="AV20" i="14"/>
  <c r="BE20" i="14"/>
  <c r="AY20" i="14"/>
  <c r="BH20" i="14"/>
  <c r="BB20" i="14"/>
  <c r="BA22" i="14"/>
  <c r="AX23" i="14"/>
  <c r="Q19" i="14"/>
  <c r="I20" i="14"/>
  <c r="AR19" i="14"/>
  <c r="AN20" i="14"/>
  <c r="AS19" i="14"/>
  <c r="AQ22" i="14"/>
  <c r="N20" i="23"/>
  <c r="O20" i="23" s="1"/>
  <c r="I21" i="23"/>
  <c r="B21" i="23" l="1"/>
  <c r="A22" i="23"/>
  <c r="N20" i="14"/>
  <c r="K21" i="14"/>
  <c r="AX24" i="14"/>
  <c r="BA23" i="14"/>
  <c r="A22" i="14"/>
  <c r="A22" i="16" s="1"/>
  <c r="B22" i="16"/>
  <c r="B23" i="14"/>
  <c r="BG24" i="14"/>
  <c r="BD24" i="14"/>
  <c r="Z21" i="14"/>
  <c r="AB21" i="14"/>
  <c r="AA21" i="14"/>
  <c r="Y22" i="14"/>
  <c r="BB22" i="14" s="1"/>
  <c r="BE21" i="14"/>
  <c r="AV21" i="14"/>
  <c r="BH21" i="14"/>
  <c r="AY21" i="14"/>
  <c r="Q20" i="14"/>
  <c r="I21" i="14"/>
  <c r="AR20" i="14"/>
  <c r="AU24" i="14"/>
  <c r="AQ23" i="14"/>
  <c r="AN21" i="14"/>
  <c r="AS20" i="14"/>
  <c r="I22" i="23"/>
  <c r="N21" i="23"/>
  <c r="O21" i="23" s="1"/>
  <c r="B22" i="23" l="1"/>
  <c r="A23" i="23"/>
  <c r="N21" i="14"/>
  <c r="K22" i="14"/>
  <c r="BG25" i="14"/>
  <c r="BD25" i="14"/>
  <c r="Q21" i="14"/>
  <c r="I22" i="14"/>
  <c r="AR21" i="14"/>
  <c r="A23" i="14"/>
  <c r="A23" i="16" s="1"/>
  <c r="B23" i="16"/>
  <c r="B24" i="14"/>
  <c r="BA24" i="14"/>
  <c r="Z22" i="14"/>
  <c r="AA22" i="14"/>
  <c r="Y23" i="14"/>
  <c r="BB23" i="14" s="1"/>
  <c r="AB22" i="14"/>
  <c r="AV22" i="14"/>
  <c r="BE22" i="14"/>
  <c r="AY22" i="14"/>
  <c r="BH22" i="14"/>
  <c r="AX25" i="14"/>
  <c r="AU25" i="14"/>
  <c r="AQ24" i="14"/>
  <c r="AS21" i="14"/>
  <c r="AN22" i="14"/>
  <c r="N22" i="23"/>
  <c r="O22" i="23" s="1"/>
  <c r="I23" i="23"/>
  <c r="B23" i="23" l="1"/>
  <c r="A24" i="23"/>
  <c r="N22" i="14"/>
  <c r="K23" i="14"/>
  <c r="BA25" i="14"/>
  <c r="B25" i="14"/>
  <c r="A24" i="14"/>
  <c r="A24" i="16" s="1"/>
  <c r="B24" i="16"/>
  <c r="AX26" i="14"/>
  <c r="Q22" i="14"/>
  <c r="I23" i="14"/>
  <c r="AR22" i="14"/>
  <c r="Y24" i="14"/>
  <c r="BB24" i="14" s="1"/>
  <c r="AB23" i="14"/>
  <c r="AA23" i="14"/>
  <c r="Z23" i="14"/>
  <c r="BE23" i="14"/>
  <c r="AY23" i="14"/>
  <c r="BH23" i="14"/>
  <c r="AV23" i="14"/>
  <c r="BD26" i="14"/>
  <c r="AU26" i="14"/>
  <c r="BG26" i="14"/>
  <c r="AN23" i="14"/>
  <c r="AS22" i="14"/>
  <c r="AQ25" i="14"/>
  <c r="N23" i="23"/>
  <c r="O23" i="23" s="1"/>
  <c r="I24" i="23"/>
  <c r="A25" i="23" l="1"/>
  <c r="B24" i="23"/>
  <c r="N23" i="14"/>
  <c r="K24" i="14"/>
  <c r="BD27" i="14"/>
  <c r="AX27" i="14"/>
  <c r="B25" i="16"/>
  <c r="B26" i="14"/>
  <c r="A25" i="14"/>
  <c r="A25" i="16" s="1"/>
  <c r="AU27" i="14"/>
  <c r="I24" i="14"/>
  <c r="Q23" i="14"/>
  <c r="AR23" i="14"/>
  <c r="BG27" i="14"/>
  <c r="Y25" i="14"/>
  <c r="BB25" i="14" s="1"/>
  <c r="Z24" i="14"/>
  <c r="AA24" i="14"/>
  <c r="AB24" i="14"/>
  <c r="BE24" i="14"/>
  <c r="BH24" i="14"/>
  <c r="AV24" i="14"/>
  <c r="AY24" i="14"/>
  <c r="BA26" i="14"/>
  <c r="AQ26" i="14"/>
  <c r="AS23" i="14"/>
  <c r="AN24" i="14"/>
  <c r="N24" i="23"/>
  <c r="O24" i="23" s="1"/>
  <c r="I25" i="23"/>
  <c r="A26" i="23" l="1"/>
  <c r="B25" i="23"/>
  <c r="N24" i="14"/>
  <c r="K25" i="14"/>
  <c r="B26" i="16"/>
  <c r="B27" i="14"/>
  <c r="A26" i="14"/>
  <c r="A26" i="16" s="1"/>
  <c r="BG28" i="14"/>
  <c r="I25" i="14"/>
  <c r="Q24" i="14"/>
  <c r="AR24" i="14"/>
  <c r="AU28" i="14"/>
  <c r="AB25" i="14"/>
  <c r="Y26" i="14"/>
  <c r="AA25" i="14"/>
  <c r="Z25" i="14"/>
  <c r="AY25" i="14"/>
  <c r="BE25" i="14"/>
  <c r="BH25" i="14"/>
  <c r="AV25" i="14"/>
  <c r="AX28" i="14"/>
  <c r="BA27" i="14"/>
  <c r="BD28" i="14"/>
  <c r="AN25" i="14"/>
  <c r="AS24" i="14"/>
  <c r="AQ27" i="14"/>
  <c r="N25" i="23"/>
  <c r="O25" i="23" s="1"/>
  <c r="I26" i="23"/>
  <c r="B26" i="23" l="1"/>
  <c r="A27" i="23"/>
  <c r="N25" i="14"/>
  <c r="K26" i="14"/>
  <c r="AB26" i="14"/>
  <c r="Z26" i="14"/>
  <c r="Y27" i="14"/>
  <c r="BB27" i="14" s="1"/>
  <c r="AA26" i="14"/>
  <c r="BH26" i="14"/>
  <c r="BE26" i="14"/>
  <c r="AY26" i="14"/>
  <c r="AV26" i="14"/>
  <c r="BB26" i="14"/>
  <c r="BA28" i="14"/>
  <c r="BG29" i="14"/>
  <c r="AX29" i="14"/>
  <c r="B28" i="14"/>
  <c r="A27" i="14"/>
  <c r="A27" i="16" s="1"/>
  <c r="B27" i="16"/>
  <c r="AU29" i="14"/>
  <c r="Q25" i="14"/>
  <c r="I26" i="14"/>
  <c r="AR25" i="14"/>
  <c r="BD29" i="14"/>
  <c r="AQ28" i="14"/>
  <c r="AN26" i="14"/>
  <c r="AS25" i="14"/>
  <c r="N26" i="23"/>
  <c r="O26" i="23" s="1"/>
  <c r="I27" i="23"/>
  <c r="B27" i="23" l="1"/>
  <c r="A28" i="23"/>
  <c r="K27" i="14"/>
  <c r="N26" i="14"/>
  <c r="BG30" i="14"/>
  <c r="I27" i="14"/>
  <c r="Q26" i="14"/>
  <c r="AR26" i="14"/>
  <c r="AU30" i="14"/>
  <c r="AB27" i="14"/>
  <c r="Z27" i="14"/>
  <c r="Y28" i="14"/>
  <c r="BB28" i="14" s="1"/>
  <c r="AA27" i="14"/>
  <c r="AY27" i="14"/>
  <c r="BE27" i="14"/>
  <c r="BH27" i="14"/>
  <c r="AV27" i="14"/>
  <c r="BA29" i="14"/>
  <c r="A28" i="14"/>
  <c r="A28" i="16" s="1"/>
  <c r="B29" i="14"/>
  <c r="B28" i="16"/>
  <c r="BD30" i="14"/>
  <c r="AX30" i="14"/>
  <c r="AN27" i="14"/>
  <c r="AS26" i="14"/>
  <c r="AQ29" i="14"/>
  <c r="N27" i="23"/>
  <c r="O27" i="23" s="1"/>
  <c r="I28" i="23"/>
  <c r="B28" i="23" l="1"/>
  <c r="A29" i="23"/>
  <c r="K28" i="14"/>
  <c r="N27" i="14"/>
  <c r="A29" i="14"/>
  <c r="A29" i="16" s="1"/>
  <c r="B30" i="14"/>
  <c r="B29" i="16"/>
  <c r="AU31" i="14"/>
  <c r="BD31" i="14"/>
  <c r="Y29" i="14"/>
  <c r="AB28" i="14"/>
  <c r="Z28" i="14"/>
  <c r="AA28" i="14"/>
  <c r="BH28" i="14"/>
  <c r="BE28" i="14"/>
  <c r="AV28" i="14"/>
  <c r="AY28" i="14"/>
  <c r="BA30" i="14"/>
  <c r="Q27" i="14"/>
  <c r="I28" i="14"/>
  <c r="AR27" i="14"/>
  <c r="AX31" i="14"/>
  <c r="BG31" i="14"/>
  <c r="AQ30" i="14"/>
  <c r="AN28" i="14"/>
  <c r="AS27" i="14"/>
  <c r="N28" i="23"/>
  <c r="O28" i="23" s="1"/>
  <c r="I29" i="23"/>
  <c r="A30" i="23" l="1"/>
  <c r="B29" i="23"/>
  <c r="K29" i="14"/>
  <c r="N28" i="14"/>
  <c r="I29" i="14"/>
  <c r="Q28" i="14"/>
  <c r="AR28" i="14"/>
  <c r="AX32" i="14"/>
  <c r="Z29" i="14"/>
  <c r="Y30" i="14"/>
  <c r="BB30" i="14" s="1"/>
  <c r="AA29" i="14"/>
  <c r="AB29" i="14"/>
  <c r="BE29" i="14"/>
  <c r="BH29" i="14"/>
  <c r="AY29" i="14"/>
  <c r="AV29" i="14"/>
  <c r="BD32" i="14"/>
  <c r="AU32" i="14"/>
  <c r="BA31" i="14"/>
  <c r="B31" i="14"/>
  <c r="A30" i="14"/>
  <c r="A30" i="16" s="1"/>
  <c r="B30" i="16"/>
  <c r="BB29" i="14"/>
  <c r="BG32" i="14"/>
  <c r="AN29" i="14"/>
  <c r="AS28" i="14"/>
  <c r="AQ31" i="14"/>
  <c r="I30" i="23"/>
  <c r="N29" i="23"/>
  <c r="O29" i="23" s="1"/>
  <c r="A31" i="23" l="1"/>
  <c r="B30" i="23"/>
  <c r="K30" i="14"/>
  <c r="N29" i="14"/>
  <c r="A31" i="14"/>
  <c r="A31" i="16" s="1"/>
  <c r="B32" i="14"/>
  <c r="B33" i="14" s="1"/>
  <c r="A33" i="14" s="1"/>
  <c r="B31" i="16"/>
  <c r="Z30" i="14"/>
  <c r="Y31" i="14"/>
  <c r="AA30" i="14"/>
  <c r="AB30" i="14"/>
  <c r="AY30" i="14"/>
  <c r="BH30" i="14"/>
  <c r="BE30" i="14"/>
  <c r="AV30" i="14"/>
  <c r="BA32" i="14"/>
  <c r="AU33" i="14"/>
  <c r="BD33" i="14"/>
  <c r="AX33" i="14"/>
  <c r="BG33" i="14"/>
  <c r="Q29" i="14"/>
  <c r="I30" i="14"/>
  <c r="AR29" i="14"/>
  <c r="AQ32" i="14"/>
  <c r="AS29" i="14"/>
  <c r="AN30" i="14"/>
  <c r="N30" i="23"/>
  <c r="O30" i="23" s="1"/>
  <c r="I31" i="23"/>
  <c r="B31" i="23" l="1"/>
  <c r="A32" i="23"/>
  <c r="N30" i="14"/>
  <c r="K31" i="14"/>
  <c r="BA33" i="14"/>
  <c r="AX34" i="14"/>
  <c r="BD34" i="14"/>
  <c r="AU34" i="14"/>
  <c r="B32" i="16"/>
  <c r="A32" i="14"/>
  <c r="A32" i="16" s="1"/>
  <c r="BG34" i="14"/>
  <c r="AB31" i="14"/>
  <c r="Z31" i="14"/>
  <c r="Y32" i="14"/>
  <c r="AA31" i="14"/>
  <c r="BE31" i="14"/>
  <c r="AY31" i="14"/>
  <c r="AV31" i="14"/>
  <c r="BH31" i="14"/>
  <c r="Q30" i="14"/>
  <c r="I31" i="14"/>
  <c r="I32" i="14" s="1"/>
  <c r="I33" i="14" s="1"/>
  <c r="I34" i="14" s="1"/>
  <c r="AR30" i="14"/>
  <c r="BB31" i="14"/>
  <c r="AS30" i="14"/>
  <c r="AN31" i="14"/>
  <c r="AQ33" i="14"/>
  <c r="I32" i="23"/>
  <c r="N31" i="23"/>
  <c r="O31" i="23" s="1"/>
  <c r="A33" i="23" l="1"/>
  <c r="B32" i="23"/>
  <c r="K32" i="14"/>
  <c r="N31" i="14"/>
  <c r="BG35" i="14"/>
  <c r="A33" i="16"/>
  <c r="B34" i="14"/>
  <c r="A34" i="14" s="1"/>
  <c r="B33" i="16"/>
  <c r="AU35" i="14"/>
  <c r="AX35" i="14"/>
  <c r="AB32" i="14"/>
  <c r="Y33" i="14"/>
  <c r="BB33" i="14" s="1"/>
  <c r="AA32" i="14"/>
  <c r="Z32" i="14"/>
  <c r="BE32" i="14"/>
  <c r="AV32" i="14"/>
  <c r="AY32" i="14"/>
  <c r="BH32" i="14"/>
  <c r="BB32" i="14"/>
  <c r="BD35" i="14"/>
  <c r="Q31" i="14"/>
  <c r="AR31" i="14"/>
  <c r="BA34" i="14"/>
  <c r="AQ34" i="14"/>
  <c r="AN32" i="14"/>
  <c r="AS31" i="14"/>
  <c r="I33" i="23"/>
  <c r="N32" i="23"/>
  <c r="O32" i="23" s="1"/>
  <c r="B33" i="23" l="1"/>
  <c r="A34" i="23"/>
  <c r="K33" i="14"/>
  <c r="N32" i="14"/>
  <c r="B34" i="16"/>
  <c r="A34" i="16"/>
  <c r="BA35" i="14"/>
  <c r="Q32" i="14"/>
  <c r="AR32" i="14"/>
  <c r="Y34" i="14"/>
  <c r="Z33" i="14"/>
  <c r="AB33" i="14"/>
  <c r="AA33" i="14"/>
  <c r="BH33" i="14"/>
  <c r="AY33" i="14"/>
  <c r="BE33" i="14"/>
  <c r="AV33" i="14"/>
  <c r="AN33" i="14"/>
  <c r="AS32" i="14"/>
  <c r="N33" i="23"/>
  <c r="O33" i="23" s="1"/>
  <c r="I34" i="23"/>
  <c r="B34" i="23" l="1"/>
  <c r="A35" i="23"/>
  <c r="N33" i="14"/>
  <c r="K34" i="14"/>
  <c r="N34" i="14" s="1"/>
  <c r="Q33" i="14"/>
  <c r="AR33" i="14"/>
  <c r="AB34" i="14"/>
  <c r="AB35" i="14" s="1"/>
  <c r="Z34" i="14"/>
  <c r="Z35" i="14" s="1"/>
  <c r="AA34" i="14"/>
  <c r="AA35" i="14" s="1"/>
  <c r="Y35" i="14"/>
  <c r="BE34" i="14"/>
  <c r="BH34" i="14"/>
  <c r="AV34" i="14"/>
  <c r="AY34" i="14"/>
  <c r="BB34" i="14"/>
  <c r="AN34" i="14"/>
  <c r="AS33" i="14"/>
  <c r="I35" i="23"/>
  <c r="N34" i="23"/>
  <c r="O34" i="23" s="1"/>
  <c r="A36" i="23" l="1"/>
  <c r="B36" i="23" s="1"/>
  <c r="B35" i="23"/>
  <c r="BE35" i="14"/>
  <c r="AV35" i="14"/>
  <c r="AY35" i="14"/>
  <c r="BH35" i="14"/>
  <c r="BB35" i="14"/>
  <c r="Q34" i="14"/>
  <c r="AR34" i="14"/>
  <c r="AN35" i="14"/>
  <c r="AS35" i="14" s="1"/>
  <c r="AS34" i="14"/>
  <c r="N35" i="23"/>
  <c r="O35" i="23" s="1"/>
  <c r="I36" i="23"/>
  <c r="N36" i="23" l="1"/>
  <c r="O36" i="23" s="1"/>
  <c r="I37" i="23"/>
  <c r="N37" i="23" s="1"/>
  <c r="O37" i="23" s="1"/>
</calcChain>
</file>

<file path=xl/sharedStrings.xml><?xml version="1.0" encoding="utf-8"?>
<sst xmlns="http://schemas.openxmlformats.org/spreadsheetml/2006/main" count="556" uniqueCount="301">
  <si>
    <t>Sales</t>
  </si>
  <si>
    <t>TC</t>
  </si>
  <si>
    <t>TA</t>
  </si>
  <si>
    <t>Actual Sales
(Daily)</t>
  </si>
  <si>
    <t>Actual Sales
MTD</t>
  </si>
  <si>
    <t>Achive Incentive Target%</t>
  </si>
  <si>
    <t>%</t>
  </si>
  <si>
    <t>Comp TC %</t>
  </si>
  <si>
    <t>Target TA</t>
  </si>
  <si>
    <t>Actual TA</t>
  </si>
  <si>
    <t>Roster
Commit 
From Area</t>
  </si>
  <si>
    <t>MTD COL</t>
  </si>
  <si>
    <t>COL(%)</t>
  </si>
  <si>
    <t>Actual
TCMH</t>
  </si>
  <si>
    <t xml:space="preserve">Promotion </t>
  </si>
  <si>
    <t>MTD</t>
  </si>
  <si>
    <t>PPH ค่าชั่วโมงเฉลี่ยที่จ่ายต่อชั่วโมง ==&gt;&gt;</t>
  </si>
  <si>
    <t>จำนวน Duty Team ที่มีอยู่ที่ร้าน ==&gt;&gt;</t>
  </si>
  <si>
    <t>Last year
(Daily)</t>
  </si>
  <si>
    <t>Value Meal Set</t>
  </si>
  <si>
    <t>Day</t>
  </si>
  <si>
    <t>Date</t>
  </si>
  <si>
    <t>Dine In</t>
  </si>
  <si>
    <t>Take Away</t>
  </si>
  <si>
    <t>Line Man</t>
  </si>
  <si>
    <t>GET</t>
  </si>
  <si>
    <t>Grand Total Sales</t>
  </si>
  <si>
    <t>Grand Total TC</t>
  </si>
  <si>
    <t>Grand Total MTH</t>
  </si>
  <si>
    <t>BK Delivery</t>
  </si>
  <si>
    <t xml:space="preserve">Drive Thru </t>
  </si>
  <si>
    <t>1112Delivery</t>
  </si>
  <si>
    <t>honestbee</t>
  </si>
  <si>
    <t>GrabFood</t>
  </si>
  <si>
    <t>foodpanda</t>
  </si>
  <si>
    <t>lalamove</t>
  </si>
  <si>
    <t>Add Cheese (จำนวนแผ่น)</t>
  </si>
  <si>
    <t>=</t>
  </si>
  <si>
    <t>Total</t>
  </si>
  <si>
    <t>Comp 
Sales %</t>
  </si>
  <si>
    <t>UP Size</t>
  </si>
  <si>
    <t>MTD
UP Size</t>
  </si>
  <si>
    <t>MTD
Add Cheese</t>
  </si>
  <si>
    <t>ข้อมูลเกี่ยวกับ Sales(ยอดขาย)</t>
  </si>
  <si>
    <t>ข้อมูลเกี่ยวกับ Ticket Count (TC) จำนวนลูกค้า</t>
  </si>
  <si>
    <t>ข้อมูลเกี่ยวกับ Working Hour (ชั่วโมงการทำงาน)</t>
  </si>
  <si>
    <t>คำแนะนำไฟล์ข้อมูล</t>
  </si>
  <si>
    <t>Column(คอลัมน์) สีส้ม</t>
  </si>
  <si>
    <t>Store name (ชื่อสาขา)</t>
  </si>
  <si>
    <t>Month</t>
  </si>
  <si>
    <t>Day (วัน), Month (เดือน)</t>
  </si>
  <si>
    <t>Total (ข้อมูลสรุปรวมแต่ละเรื่อง)</t>
  </si>
  <si>
    <t>Column(คอลัมน์) สีแดง</t>
  </si>
  <si>
    <t xml:space="preserve">ข้อมูลเกี่ยวกับ Promotion (โปรโมชั่น) </t>
  </si>
  <si>
    <t>ข้อมูลยอดขายปีที่แล้ว รายวัน</t>
  </si>
  <si>
    <t>ข้อมูลยอดขายปีที่แล้วในเดือนจนถึงปัจจุบัน</t>
  </si>
  <si>
    <t>เป้าหมายยอดขายอินเซนทีฟรายวัน</t>
  </si>
  <si>
    <t>เป้าหมายยอดขายอินเซนทีฟในเดือนจนถึงปัจจุบัน</t>
  </si>
  <si>
    <t>ข้อมูลคาดการณ์ยอดขายจากระบบ NBO</t>
  </si>
  <si>
    <t>Varaince From 
Target</t>
  </si>
  <si>
    <t>Varaince From Target</t>
  </si>
  <si>
    <t>Varaince From 
Forecast</t>
  </si>
  <si>
    <t>Varaince From Forecast</t>
  </si>
  <si>
    <t xml:space="preserve">Forecast From NBO </t>
  </si>
  <si>
    <t>ผลต่างยอดขายเทียบ Target ในเดือนจนถึงปัจจุบัน</t>
  </si>
  <si>
    <t>ผลต่างยอดขายเทียบข้อมูลคาดการณ์ยอดขายจากระบบ NBO</t>
  </si>
  <si>
    <t>ผลต่างยอดขายเทียบข้อมูลคาดการณ์ยอดขายจากระบบ NBO คำนวณเป็นเปอร์เซ็นต์</t>
  </si>
  <si>
    <t>เปรียบเทียบยอดขายปีที่แล้วคิดเป็นเปอร์เซ็นต์</t>
  </si>
  <si>
    <t>ข้อมูลพื้นฐาน Ticket Count (TC) จำนวนลูกค้า</t>
  </si>
  <si>
    <t>ข้อมูลพื้นฐาน Sales(ยอดขาย)</t>
  </si>
  <si>
    <t>Target (Daily)</t>
  </si>
  <si>
    <t>Varaince From Last year</t>
  </si>
  <si>
    <t>Varaince From 
Last year</t>
  </si>
  <si>
    <t>Varaince From  Target</t>
  </si>
  <si>
    <t>Actual (Daily)</t>
  </si>
  <si>
    <t>ข้อมูลจำนวนลูกค้าปีที่แล้ว รายวัน</t>
  </si>
  <si>
    <t>ข้อมูลจำนวนลูกค้าปีที่แล้วในเดือนจนถึงปัจจุบัน</t>
  </si>
  <si>
    <t>เป้าหมายจำนวนลูกค้ารายวัน</t>
  </si>
  <si>
    <t>เป้าหมายจำนวนลูกค้าในเดือนจนถึงปัจจุบัน</t>
  </si>
  <si>
    <t>ยอดขายที่ขายได้จริงรายวัน</t>
  </si>
  <si>
    <t>ยอดขายที่ที่ขายได้จริงในเดือนจนถึงปัจจุบัน</t>
  </si>
  <si>
    <t>จำนวนลูกค้าจริงที่เข้าใช้บริการรายวัน</t>
  </si>
  <si>
    <t>จำนวนลูกค้าจริงที่เข้าใช้บริการในเดือนจนถึงปัจจุบัน</t>
  </si>
  <si>
    <t>ผลต่างยอดขายเทียบ Target รายวัน</t>
  </si>
  <si>
    <t>ผลต่างจำนวนลูกค้าเทียบ Target รายวัน</t>
  </si>
  <si>
    <t>Target (Incentive)</t>
  </si>
  <si>
    <t>Actual Sales (Daily)</t>
  </si>
  <si>
    <t>Actual Sales MTD</t>
  </si>
  <si>
    <t xml:space="preserve">Varaince MTD </t>
  </si>
  <si>
    <t>เปอร์เซ็นต์ยอดขายเทียบ Target อินเซนทีฟ คำนวณเป็นเปอร์เซ็นต์</t>
  </si>
  <si>
    <t>ผลต่างจำนวนลูกค้าเทียบปีที่แล้ว</t>
  </si>
  <si>
    <t>เปรียบเทียบจำนวนลูกค้าปีที่แล้วคิดเป็นเปอร์เซ็นต์</t>
  </si>
  <si>
    <t>Last year TA</t>
  </si>
  <si>
    <t>Variance Target VS Actual</t>
  </si>
  <si>
    <t>ข้อมูลค่าเฉลี่ยต่อบิลการขายปีที่แล้วรายวัน</t>
  </si>
  <si>
    <t>ข้อมูลเป้าหมายค่าเฉลี่ยต่อบิลการขายรายวัน</t>
  </si>
  <si>
    <t>ค่าเฉลี่ยต่อบิลการขายที่ทำได้จริงรายวัน</t>
  </si>
  <si>
    <t>ข้อมูลพื้นฐาน Ticket Average (TA) ค่าเฉลี่ยต่อบิลการขาย(บาท)</t>
  </si>
  <si>
    <t>ข้อมูลเกี่ยวกับ Ticket Average (TA) ค่าเฉลี่ยต่อบิลการขาย(บาท)</t>
  </si>
  <si>
    <t>ผลต่างค่าเฉลี่ยต่อบิลการขาย เป้าหมายเปรียบเทียบกับค่าเฉลี่ยต่อบิลที่ทำได้จริงรายวัน</t>
  </si>
  <si>
    <t>COL(Bath)</t>
  </si>
  <si>
    <t>Roster Commit From Area</t>
  </si>
  <si>
    <t>Actual Hour (PT+FT)</t>
  </si>
  <si>
    <t>ชั่วโมงการทำงาน Duty Team 
(ห้ามแก้ไข)</t>
  </si>
  <si>
    <t>ชั่วโมงการทำงาน Duty Team (ห้ามแก้ไข)</t>
  </si>
  <si>
    <t>COL (Bath)</t>
  </si>
  <si>
    <t>Actual TCMH</t>
  </si>
  <si>
    <t>ข้อมูลพื้นฐาน Working Hour (ชั่วโมงการทำงาน)</t>
  </si>
  <si>
    <t>OT Hour</t>
  </si>
  <si>
    <t>COL (%)</t>
  </si>
  <si>
    <t>ชั่วโมงจากระบบ NBO</t>
  </si>
  <si>
    <t>ข้อมูลชั่วโมงการทำงานของพนักงานจากระบบ NBO</t>
  </si>
  <si>
    <t>เป้าหมายตารางชั่วโมงการทำงานของพนักงานรายวันที่ได้รับจากแอเรีย</t>
  </si>
  <si>
    <t>จำนวนชั่วโมงการทำงานของพนักงานในเดือนจนถึงปัจจุบัน</t>
  </si>
  <si>
    <t>จำนวนชั่วโมงการทำงานของพนักงานฟูลไทม์รวมพาร์ทไทม์ที่ใช้จริงรายวัน</t>
  </si>
  <si>
    <t>จำนวนชั่วโมงโอทีการทำงานของพนักงานที่ใช้จริงรายวัน</t>
  </si>
  <si>
    <t>จำนวนชั่วโมงการทำงานของพนักงานรายวันรวมชัวโมงการทำงานโอทีรายวัน</t>
  </si>
  <si>
    <t>จำนวนชั่วโมงการทำงานของ Duty Team รายวัน (ห้ามแก้ไข)</t>
  </si>
  <si>
    <t>ผลต่างจำนวนชั่วโมงการทำงานของพนักงาน เป้าหมายชั่วโมงการทำงานจากแอเรียเปรียบเทียบจำนวนชั่วโมงการทำงานของพนักงานรายวันรวมชัวโมงการทำงานโอทีรายวัน</t>
  </si>
  <si>
    <t>ค่าจ้างพนักงานคำนวนเป็นบาท</t>
  </si>
  <si>
    <t>ค่าจ้างพนักงานจำนวนบาทในเดือนจนถึงปัจจุบัน</t>
  </si>
  <si>
    <t>ค่าจ้างพนักงานจำนวนบาทคิดเป็นเปอร์เซ็นต์</t>
  </si>
  <si>
    <t>ความสามารถในการทำงานของพนักงานต่อคนต่อหนึ่งชั่วโมงที่ลูกค้าเข้ามาใช้บริการจริง</t>
  </si>
  <si>
    <t>% Value Meal</t>
  </si>
  <si>
    <t>MTD UP Size</t>
  </si>
  <si>
    <t>%UP Size</t>
  </si>
  <si>
    <t>%Value Meal</t>
  </si>
  <si>
    <t>%Add Cheese</t>
  </si>
  <si>
    <t>MTD Add Cheese</t>
  </si>
  <si>
    <t>MTD Other</t>
  </si>
  <si>
    <t>%Other</t>
  </si>
  <si>
    <t>จำนวนการขายสินค้าเป็นชุดรายวัน</t>
  </si>
  <si>
    <t>จำนวนการขายสินค้าเป็นชุดในเดือนจนถึงปัจจุบัน</t>
  </si>
  <si>
    <t>จำนวนการขายสินค้าเป็นชุดในเดือนจนถึงปัจจุบันคำนวนเป็นเปอร์เซ็นต์</t>
  </si>
  <si>
    <t>จำนวนการขายสินค้าเป็นชุดเพิ่มขนาด</t>
  </si>
  <si>
    <t>จำนวนการขายสินค้าเป็นชุดเพิ่มขนาดในเดือนจนถึงปัจจุบัน</t>
  </si>
  <si>
    <t>จำนวนการขายสินค้าเป็นชุดเพิ่มขนาดในเดือนจนถึงปัจจุบันคำนวนเป็นเปอร์เซ็นต์</t>
  </si>
  <si>
    <t>จำนวนการขายเพิ่มชีสรายวัน</t>
  </si>
  <si>
    <t>จำนวนการขายเพิ่มชีสในเดือนจนถึงปัจจุบัน</t>
  </si>
  <si>
    <t>จำนวนการขายเพิ่มชีสในเดือนจนถึงปัจจุบันคำนวนเป็นเปอร์เซ็นต์</t>
  </si>
  <si>
    <t>ข้อมูลพื้นฐาน Promotion (โปรโมชั่นที่ต้องการบันทึกเพื่อนำมาวิเคราะห์ข้อมูล)</t>
  </si>
  <si>
    <t>Other (New Promotion) ที่สาขาต้องการบันทึกข้อมูล</t>
  </si>
  <si>
    <t>จำนวนการขายสินค้าโปรโมชั่นใหม่อื่นๆในเดือนจนถึงปัจจุบัน</t>
  </si>
  <si>
    <t>จำนวนการขายสินค้าโปรโมชั่นใหม่อื่นๆในเดือนจนถึงปัจจุบันคำนวนเป็นเปอร์เซ็นต์</t>
  </si>
  <si>
    <t>Store name :</t>
  </si>
  <si>
    <t>ข้อมูลที่ต้องกรอกบันทึกในช่องคอลัมน์ดังนี้</t>
  </si>
  <si>
    <t xml:space="preserve">จำนวน Duty Team ที่มีอยู่ที่ร้าน ==&gt;&gt; </t>
  </si>
  <si>
    <t>ในช่องคอมลัมน์ที่ต้องกรอกข้อมูลเป็นสีขาว</t>
  </si>
  <si>
    <t>ในช่องคอมลัมน์ที่ต้องกรอกข้อมูลเป็นสีส้ม</t>
  </si>
  <si>
    <t>กรอกข้อมูลในกรอบสีแดง</t>
  </si>
  <si>
    <t>Column(คอลัมน์) สีเทา</t>
  </si>
  <si>
    <t>Column(คอลัมน์) สีเขียว</t>
  </si>
  <si>
    <t>Column(คอลัมน์) สีเหลือง</t>
  </si>
  <si>
    <t>Column(คอลัมน์) สีฟ้า</t>
  </si>
  <si>
    <t>Column(คอลัมน์) สีม่วง</t>
  </si>
  <si>
    <r>
      <rPr>
        <sz val="11"/>
        <color indexed="10"/>
        <rFont val="Arial"/>
        <family val="2"/>
      </rPr>
      <t>จำนวน Duty Team ที่มีอยู่ที่ร้าน</t>
    </r>
    <r>
      <rPr>
        <sz val="11"/>
        <color indexed="8"/>
        <rFont val="Arial"/>
        <family val="2"/>
      </rPr>
      <t xml:space="preserve"> และ </t>
    </r>
    <r>
      <rPr>
        <sz val="11"/>
        <color indexed="10"/>
        <rFont val="Arial"/>
        <family val="2"/>
      </rPr>
      <t>Pay Per Hour(PPH) ค่าชั่วโมงเฉลี่ยที่จ่ายต่อชั่วโมง</t>
    </r>
  </si>
  <si>
    <t>Pay Per Hour(PPH) ค่าชั่วโมงเฉลี่ยที่จ่ายต่อชั่วโมง ==&gt;&gt;</t>
  </si>
  <si>
    <t>Waste Daily (Bath)</t>
  </si>
  <si>
    <t>Waste Daily (%)</t>
  </si>
  <si>
    <t>ยอดทิ้งสินค้ารายวันหน่วยเป็นบาท</t>
  </si>
  <si>
    <t>ยอดทิ้งสินค้ารายวันคิดเป็นเปอร์เซ็นต์</t>
  </si>
  <si>
    <t>คำอธิบายวิธีการคิดคำนวน</t>
  </si>
  <si>
    <t>นำยอดขาย Last Year(Daily) มาบวกกันตั้งแต่วันที่ 1 ถึงวันปัจจุบัน</t>
  </si>
  <si>
    <t>ข้อมูลพื้นฐานสูตร Sales(ยอดขาย)</t>
  </si>
  <si>
    <t>นำ Actual Sales (Daily) ลบ Target (Incentive) วันต่อวัน</t>
  </si>
  <si>
    <t>นำผลต่างยอดขายเทียบ Target ในแต่ละวันมาบวกกัน ตั้งแต่วันที่ 1 ถึงวันปัจจุบัน</t>
  </si>
  <si>
    <t>นำ Varaince MTD หาร Target MTD (Incentive) กดเปอร์เซ็นต์</t>
  </si>
  <si>
    <t xml:space="preserve">Forecast Sales
From NBO </t>
  </si>
  <si>
    <t xml:space="preserve">นำ Actual Sales (Daily) ลบ Forecast Sales From NBO </t>
  </si>
  <si>
    <t xml:space="preserve">Forecast Sales From NBO </t>
  </si>
  <si>
    <t>นำ Varaince From Forecast หาร Forecast Sales From NBO กดเปอร์เซ็นต์</t>
  </si>
  <si>
    <t>นำ Actual Sales MTD ลบ Last Year MTD และหารด้วย Last Year MTD กดเปอร์เซ็นต์</t>
  </si>
  <si>
    <t>นำ Waste Daily (Bath) หาร Actual Sales (Daily) กดเปอร์เซ็นต์</t>
  </si>
  <si>
    <t>ข้อมูลพื้นฐานสูตร Ticket Count (TC) จำนวนลูกค้า</t>
  </si>
  <si>
    <t>นำข้อมูลจำนวนลูกค้า Last year (Daily) มาบวกกันตั้งแต่วันที่ 1 ถึงวันปัจจุบัน</t>
  </si>
  <si>
    <t>นำ Target (Daily) มาบวกกันตั้งแต่วันที่ 1 ถึงวันปัจจุบัน</t>
  </si>
  <si>
    <t>นำ Actual (Daily) มาบวกกันตั้งแต่วันที่ 1 ถึงวันปัจจุบัน</t>
  </si>
  <si>
    <t>นำ Actual MTD ลบ Target MTD</t>
  </si>
  <si>
    <t>นำ Actual MTD ลบ Last year MTD</t>
  </si>
  <si>
    <t>นำ Actual MTD ลบ Last year MTD และหารด้วย Last Year MTD กดเปอร์เซ็นต์</t>
  </si>
  <si>
    <t>ข้อมูลพื้นฐานสูตร Ticket Average (TA) ค่าเฉลี่ยต่อบิลการขาย(บาท)</t>
  </si>
  <si>
    <t>นำ ยอดขาย Last Year(Daily) หาร จำนวนลูกค้า Last year (Daily)</t>
  </si>
  <si>
    <t>นำ Target (Incentive) Daily รายวัน มาบวกกันตั้งแต่วันที่ 1 ถึงวันปัจจุบัน</t>
  </si>
  <si>
    <t>นำ ยอดขาย Target (Incentive) Daily หาร จำนวนลูกค้า Target (Daily)</t>
  </si>
  <si>
    <t>นำ ยอดขาย Actual Sales (Daily) มาบวกกันตั้งแต่วันที่ 1 ถึงวันปัจจุบัน</t>
  </si>
  <si>
    <t>นำ ยอดขาย Actual Sales (Daily) หาร จำนวนลูกค้า Actual (Daily)</t>
  </si>
  <si>
    <t>นำ Actual TA ลบ Target TA</t>
  </si>
  <si>
    <t>นำ Roster Commit From Area รายวัน มาบวกกันตั้งแต่วันที่ 1 ถึงวันปัจจุบัน</t>
  </si>
  <si>
    <t>นำ จำนวน Duty Team ที่มีอยู่ที่ร้าน คูณ 8 (ชั่วโมง)</t>
  </si>
  <si>
    <t xml:space="preserve">นำ Actual Hour (PT+FT) บวก OT Hour </t>
  </si>
  <si>
    <t>นำ ชั่วโมง Summary Total รายวัน มาบวกกันตั้งแต่วันที่ 1 ถึงวันปัจจุบัน</t>
  </si>
  <si>
    <t>นำ ชั่วโมง Summary Total ลบ Roster Commit From Area</t>
  </si>
  <si>
    <t>นำ ชั่วโมงการทำงาน Duty Team (ห้ามแก้ไข) บวก Actual Hour (PT+FT) บวก OT Hour 
คูณ PPH ค่าชั่วโมงเฉลี่ยที่จ่ายต่อชั่วโมง</t>
  </si>
  <si>
    <t>นำ COL (Bath) รายวัน มาบวกกันตั้งแต่วันที่ 1 ถึงวันปัจจุบัน</t>
  </si>
  <si>
    <t>นำ MTD COL หาร Actual Sales MTD กดเปอร์เซ็นต์</t>
  </si>
  <si>
    <t>นำ จำนวนลูกค้า Actual MTD หาร MTD Working Hour</t>
  </si>
  <si>
    <t>ข้อมูลพื้นฐานสูตร Promotion (โปรโมชั่นที่ต้องการบันทึกเพื่อนำมาวิเคราะห์ข้อมูล)</t>
  </si>
  <si>
    <t>MTD Value Meal</t>
  </si>
  <si>
    <t>นำ Value Meal Set รายวัน มาบวกกันตั้งแต่วันที่ 1 ถึงวันปัจจุบัน</t>
  </si>
  <si>
    <t>MTD
Value
Meal</t>
  </si>
  <si>
    <t>นำ MTD Value Meal หาร จำนวนลูกค้า Actual MTD กดเปอร์เซ็นต์</t>
  </si>
  <si>
    <t>นำ UP Size รายวัน มาบวกกันตั้งแต่วันที่ 1 ถึงวันปัจจุบัน</t>
  </si>
  <si>
    <t>นำ MTD UP Size หาร จำนวนลูกค้า Actual MTD กดเปอร์เซ็นต์</t>
  </si>
  <si>
    <t>นำ Add Cheese (จำนวนแผ่น) รายวัน มาบวกกันตั้งแต่วันที่ 1 ถึงวันปัจจุบัน</t>
  </si>
  <si>
    <t>นำ MTD Add Cheese หาร จำนวนลูกค้า Actual MTD กดเปอร์เซ็นต์</t>
  </si>
  <si>
    <t>นำ Other (New Promotion) ที่สาขาต้องการบันทึกข้อมูล รายวัน 
มาบวกกันตั้งแต่วันที่ 1 ถึงวันปัจจุบัน</t>
  </si>
  <si>
    <t>นำ MTD Other หาร จำนวนลูกค้า Actual MTD กดเปอร์เซ็นต์</t>
  </si>
  <si>
    <t>Pay Per Hour(PPH) ค่าชั่วโมงเฉลี่ยที่จ่ายต่อชั่วโมง</t>
  </si>
  <si>
    <t>Other 
 (New promotion)</t>
  </si>
  <si>
    <t>Other 
(New promotion)</t>
  </si>
  <si>
    <t xml:space="preserve">Store name : </t>
  </si>
  <si>
    <t>Sales Delivery (Daily)</t>
  </si>
  <si>
    <t>Sales Delivery MTD</t>
  </si>
  <si>
    <t>Varaince 
MTD</t>
  </si>
  <si>
    <r>
      <t xml:space="preserve"> Recommend Hours 
</t>
    </r>
    <r>
      <rPr>
        <b/>
        <sz val="9"/>
        <rFont val="Calibri"/>
        <family val="2"/>
      </rPr>
      <t>(ชั่วโมงจากระบบ NBO)</t>
    </r>
  </si>
  <si>
    <t>Target TCMH 4.4</t>
  </si>
  <si>
    <t>ข้อมูลยอดขาย Delivery ทุก Food Aggregators</t>
  </si>
  <si>
    <t>ข้อมูลยอดขาย Delivery ทุก Food Aggregators ในเดือนจนถึงปัจจุบัน</t>
  </si>
  <si>
    <t>Recommend Hours  ชั่วโมงจากระบบ NBO</t>
  </si>
  <si>
    <t>นำ ยอดขาย Delivery ทุก Food Agregators มาบวกกันตั้งแต่วันที่ 1 ถึงวันปัจจุบัน</t>
  </si>
  <si>
    <t xml:space="preserve">นำค่าจ้างพนักงานใน P&amp;L COL บาท ของเดือนล่าสุด
</t>
  </si>
  <si>
    <r>
      <t xml:space="preserve">วิธีการคำนวณ นำ COL บาท หาร ด้วยชั่วโมงการทำงานทั้งหมด </t>
    </r>
    <r>
      <rPr>
        <b/>
        <sz val="11"/>
        <color indexed="8"/>
        <rFont val="Arial"/>
        <family val="2"/>
      </rPr>
      <t>(A+B+C)</t>
    </r>
    <r>
      <rPr>
        <sz val="11"/>
        <color indexed="8"/>
        <rFont val="Arial"/>
        <family val="2"/>
      </rPr>
      <t xml:space="preserve">
(250,000 บาท) หาร (832+416+2,299=3,547 ชั่วโมง) 
</t>
    </r>
    <r>
      <rPr>
        <b/>
        <sz val="14"/>
        <color indexed="10"/>
        <rFont val="Arial"/>
        <family val="2"/>
      </rPr>
      <t xml:space="preserve">(250,000/3,547=70 บาท </t>
    </r>
    <r>
      <rPr>
        <sz val="14"/>
        <color indexed="10"/>
        <rFont val="Arial"/>
        <family val="2"/>
      </rPr>
      <t>Pay Per Hour(PPH) ค่าชั่วโมงเฉลี่ยที่จ่ายต่อชั่วโมง)</t>
    </r>
  </si>
  <si>
    <t xml:space="preserve">Average Rating </t>
  </si>
  <si>
    <t>Check By</t>
  </si>
  <si>
    <t>OSAT</t>
  </si>
  <si>
    <t>GSI</t>
  </si>
  <si>
    <t>Delivery Rating</t>
  </si>
  <si>
    <t>Google Review</t>
  </si>
  <si>
    <t xml:space="preserve"> GSI Ratings </t>
  </si>
  <si>
    <t>Store Name:</t>
  </si>
  <si>
    <t xml:space="preserve"> GSI Ratings</t>
  </si>
  <si>
    <t>Last Year Sales
(Daily)</t>
  </si>
  <si>
    <t>Last Year Sales
MTD</t>
  </si>
  <si>
    <t>Target Sales
(Incentive) 
Daily</t>
  </si>
  <si>
    <t>Last Year Sales (Daily)</t>
  </si>
  <si>
    <t>Last Year Sales MTD (Month To Date)</t>
  </si>
  <si>
    <t>Target Sales (Incentive) Daily</t>
  </si>
  <si>
    <t>Target Sales MTD (Incentive)</t>
  </si>
  <si>
    <t>Target Sales MTD
(Incentive)</t>
  </si>
  <si>
    <t>Last year TC
(Daily)</t>
  </si>
  <si>
    <t>Last year TC
MTD</t>
  </si>
  <si>
    <t>Target TC
(Daily)</t>
  </si>
  <si>
    <t>Target TC
MTD</t>
  </si>
  <si>
    <t>Actual TC
(Daily)</t>
  </si>
  <si>
    <t>Actual TC
MTD</t>
  </si>
  <si>
    <t>Last year TC (Daily)</t>
  </si>
  <si>
    <t>Last year TC MTD (Month To Date)</t>
  </si>
  <si>
    <t>Target TC (Daily)</t>
  </si>
  <si>
    <t>Target TC MTD</t>
  </si>
  <si>
    <t>Actual TC (Daily)</t>
  </si>
  <si>
    <t>Actual TC MTD</t>
  </si>
  <si>
    <t>Summary Hours Total</t>
  </si>
  <si>
    <t>MTD 
Working Hours</t>
  </si>
  <si>
    <t>Variance
 Hours</t>
  </si>
  <si>
    <t>OT
Hours</t>
  </si>
  <si>
    <t>Actual 
Hours
(PT+FT)</t>
  </si>
  <si>
    <t>MTD Roster
Working Hours</t>
  </si>
  <si>
    <t>(Month To Date) MTD Roster Working Hours</t>
  </si>
  <si>
    <t>Actual Hours (PT+FT)</t>
  </si>
  <si>
    <t>OT Hours</t>
  </si>
  <si>
    <t>MTD Working Hours</t>
  </si>
  <si>
    <t>Variance Hours</t>
  </si>
  <si>
    <r>
      <t>ตัวอย่าง Duty Team 4 คน 
ใน 1 เดือน จะมีวันหยุด 4 วัน ต่อ 1 คน=วันทำงาน 26 วัน คูณ 8 ชั่วโมง (26*8=208)*4 คน=832 ชั่วโมงต่อเดือน (A)
ตัวอย่าง FT=2 คน 
ใน 1 เดือน จะมีวันหยุด 4 วัน ต่อ 1 คน=วันทำงาน 26 วัน คูณ 8 ชั่วโมง (26*8=208)*2 คน=416 ชั่วโมงต่อเดือน (B)
นำ ชั่วโมงพนักงาน Part  Time ของเดือนล่าสุดหักชั่วโมง Duty Team ลบออก</t>
    </r>
    <r>
      <rPr>
        <b/>
        <sz val="11"/>
        <color indexed="8"/>
        <rFont val="Arial"/>
        <family val="2"/>
      </rPr>
      <t xml:space="preserve"> ดูข้อมูลได้จาก NBO 1.02 Time Clock Detail หน้าสุดท้าย (C)</t>
    </r>
  </si>
  <si>
    <t>Target Waste 0.75%</t>
  </si>
  <si>
    <t>Grand Diamond</t>
  </si>
  <si>
    <t>Compatibility Report for Sales Management Sheet ^0 GSI 2024 (Update).xls</t>
  </si>
  <si>
    <t>Run on 08/02/2025 04:25</t>
  </si>
  <si>
    <t>If the workbook is saved in an earlier file format or opened in an earlier version of Microsoft Excel, the listed features will not be available.</t>
  </si>
  <si>
    <t>Significant loss of functionality</t>
  </si>
  <si>
    <t># of occurrences</t>
  </si>
  <si>
    <t>Version</t>
  </si>
  <si>
    <t>You can no longer edit this object.</t>
  </si>
  <si>
    <t>Instruction(สูตร)'!A1:D52</t>
  </si>
  <si>
    <t>Excel 97-2003</t>
  </si>
  <si>
    <t>Some cells have overlapping conditional formatting ranges. Earlier versions of Excel will not evaluate all of the conditional formatting rules on the overlapping cells. The overlapping cells will show different conditional formatting.</t>
  </si>
  <si>
    <t>Sales Management Sheet'!S4:S34</t>
  </si>
  <si>
    <t>Some cells contain conditional formatting with the 'Stop if True' option cleared. Earlier versions of Excel do not recognize this option and will stop after the first true condition.</t>
  </si>
  <si>
    <t>Sales Management Sheet'!S4:S35</t>
  </si>
  <si>
    <t>Sales Management Sheet'!AS4:AS35</t>
  </si>
  <si>
    <t>Minor loss of fidelity</t>
  </si>
  <si>
    <t>Some cells or styles in this workbook contain formatting that is not supported by the selected file format. These formats will be converted to the closest format available.</t>
  </si>
  <si>
    <t xml:space="preserve">Month :  </t>
  </si>
  <si>
    <t>Budget</t>
  </si>
  <si>
    <t>Avg. per hour</t>
  </si>
  <si>
    <t>ค่ารถ Close shift</t>
  </si>
  <si>
    <t>Fix cost (Full time)</t>
  </si>
  <si>
    <t>Total Hrs (Part Time)</t>
  </si>
  <si>
    <t xml:space="preserve">Cost </t>
  </si>
  <si>
    <t>จำนวนคนปิดร้าน</t>
  </si>
  <si>
    <t>Close shift</t>
  </si>
  <si>
    <t>COL(day)</t>
  </si>
  <si>
    <t>Accum. COL</t>
  </si>
  <si>
    <t>Sales(day)</t>
  </si>
  <si>
    <t>Sales MTD</t>
  </si>
  <si>
    <t>% Daily</t>
  </si>
  <si>
    <t>MTD % total</t>
  </si>
  <si>
    <t>VAR</t>
  </si>
  <si>
    <t xml:space="preserve"> </t>
  </si>
  <si>
    <t>Totel</t>
  </si>
  <si>
    <t>.</t>
  </si>
  <si>
    <t>Labour control sheet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</si>
</sst>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3" formatCode="_(* #,##0.00_);_(* \(#,##0.00\);_(* &quot;-&quot;??_);_(@_)"/>
    <numFmt numFmtId="164" formatCode="ddd"/>
    <numFmt numFmtId="165" formatCode="[$-409]d\-mmm;@"/>
    <numFmt numFmtId="166" formatCode="_-* #,##0_-;\-* #,##0_-;_-* &quot;-&quot;??_-;_-@_-"/>
    <numFmt numFmtId="167" formatCode="0.0%"/>
    <numFmt numFmtId="168" formatCode="00000"/>
    <numFmt numFmtId="169" formatCode="0.0"/>
    <numFmt numFmtId="170" formatCode="[$-409]d\-mmm\-yy;@"/>
    <numFmt numFmtId="171" formatCode="B1mmm\-yy"/>
  </numFmts>
  <fonts count="54" x14ac:knownFonts="1">
    <font>
      <sz val="11"/>
      <color theme="1"/>
      <name val="Calibri"/>
      <family val="2"/>
      <scheme val="minor"/>
    </font>
    <font>
      <sz val="14"/>
      <name val="Cordia New"/>
      <family val="2"/>
    </font>
    <font>
      <sz val="11"/>
      <color indexed="8"/>
      <name val="Arial"/>
      <family val="2"/>
    </font>
    <font>
      <sz val="11"/>
      <name val="Arial"/>
      <family val="2"/>
    </font>
    <font>
      <b/>
      <u/>
      <sz val="14"/>
      <name val="Arial"/>
      <family val="2"/>
    </font>
    <font>
      <sz val="11"/>
      <color indexed="10"/>
      <name val="Arial"/>
      <family val="2"/>
    </font>
    <font>
      <sz val="14"/>
      <color indexed="10"/>
      <name val="Arial"/>
      <family val="2"/>
    </font>
    <font>
      <b/>
      <u/>
      <sz val="16"/>
      <name val="Arial"/>
      <family val="2"/>
    </font>
    <font>
      <sz val="14"/>
      <name val="Arial"/>
      <family val="2"/>
    </font>
    <font>
      <b/>
      <sz val="11"/>
      <color indexed="8"/>
      <name val="Arial"/>
      <family val="2"/>
    </font>
    <font>
      <b/>
      <sz val="11"/>
      <name val="Calibri"/>
      <family val="2"/>
    </font>
    <font>
      <b/>
      <sz val="9"/>
      <name val="Calibri"/>
      <family val="2"/>
    </font>
    <font>
      <b/>
      <sz val="14"/>
      <color indexed="10"/>
      <name val="Arial"/>
      <family val="2"/>
    </font>
    <font>
      <sz val="10"/>
      <color indexed="8"/>
      <name val="Calibri"/>
      <family val="2"/>
    </font>
    <font>
      <b/>
      <u/>
      <sz val="10"/>
      <color indexed="8"/>
      <name val="Calibri"/>
      <family val="2"/>
    </font>
    <font>
      <b/>
      <sz val="11"/>
      <color indexed="8"/>
      <name val="Calibri"/>
      <family val="2"/>
    </font>
    <font>
      <sz val="20"/>
      <color indexed="8"/>
      <name val="Calibri"/>
      <family val="2"/>
    </font>
    <font>
      <b/>
      <sz val="20"/>
      <color indexed="9"/>
      <name val="Calibri"/>
      <family val="2"/>
    </font>
    <font>
      <b/>
      <sz val="10"/>
      <color indexed="8"/>
      <name val="Calibri"/>
      <family val="2"/>
    </font>
    <font>
      <b/>
      <sz val="14"/>
      <color indexed="8"/>
      <name val="Calibri"/>
      <family val="2"/>
    </font>
    <font>
      <b/>
      <sz val="16"/>
      <name val="Calibri"/>
      <family val="2"/>
    </font>
    <font>
      <b/>
      <sz val="16"/>
      <color indexed="8"/>
      <name val="Calibri"/>
      <family val="2"/>
    </font>
    <font>
      <b/>
      <sz val="18"/>
      <color indexed="9"/>
      <name val="Tahoma"/>
      <family val="2"/>
    </font>
    <font>
      <sz val="18"/>
      <name val="Cordia New"/>
      <family val="2"/>
      <charset val="222"/>
    </font>
    <font>
      <b/>
      <sz val="18"/>
      <name val="Cordia New"/>
      <family val="2"/>
    </font>
    <font>
      <sz val="10"/>
      <name val="Arial"/>
      <family val="2"/>
    </font>
    <font>
      <b/>
      <sz val="18"/>
      <color indexed="43"/>
      <name val="Cordia New"/>
      <family val="2"/>
    </font>
    <font>
      <b/>
      <sz val="16"/>
      <name val="Cordia New"/>
      <family val="2"/>
    </font>
    <font>
      <b/>
      <sz val="18"/>
      <name val="Cordia New"/>
      <family val="2"/>
      <charset val="222"/>
    </font>
    <font>
      <b/>
      <sz val="8"/>
      <name val="Arial"/>
      <family val="2"/>
    </font>
    <font>
      <b/>
      <sz val="10"/>
      <name val="Arial"/>
      <family val="2"/>
    </font>
    <font>
      <b/>
      <sz val="12"/>
      <name val="Cordia New"/>
      <family val="2"/>
    </font>
    <font>
      <b/>
      <sz val="14"/>
      <name val="Cordia New"/>
      <family val="2"/>
    </font>
    <font>
      <sz val="16"/>
      <name val="Cordia New"/>
      <family val="2"/>
    </font>
    <font>
      <b/>
      <sz val="16"/>
      <color indexed="9"/>
      <name val="Cordia New"/>
      <family val="2"/>
    </font>
    <font>
      <sz val="11"/>
      <color theme="1"/>
      <name val="Calibri"/>
      <family val="2"/>
      <scheme val="minor"/>
    </font>
    <font>
      <sz val="11"/>
      <color theme="0"/>
      <name val="Calibri"/>
      <family val="2"/>
      <scheme val="minor"/>
    </font>
    <font>
      <u/>
      <sz val="11"/>
      <color theme="10"/>
      <name val="Calibri"/>
      <family val="2"/>
      <scheme val="minor"/>
    </font>
    <font>
      <b/>
      <sz val="11"/>
      <color theme="1"/>
      <name val="Calibri"/>
      <family val="2"/>
      <scheme val="minor"/>
    </font>
    <font>
      <b/>
      <sz val="14"/>
      <name val="Calibri"/>
      <family val="2"/>
      <scheme val="minor"/>
    </font>
    <font>
      <b/>
      <sz val="16"/>
      <name val="Calibri"/>
      <family val="2"/>
      <scheme val="minor"/>
    </font>
    <font>
      <sz val="16"/>
      <name val="Calibri"/>
      <family val="2"/>
      <scheme val="minor"/>
    </font>
    <font>
      <sz val="16"/>
      <color indexed="10"/>
      <name val="Calibri"/>
      <family val="2"/>
      <scheme val="minor"/>
    </font>
    <font>
      <sz val="11"/>
      <color theme="1"/>
      <name val="Arial"/>
      <family val="2"/>
    </font>
    <font>
      <sz val="11"/>
      <color theme="0"/>
      <name val="Arial"/>
      <family val="2"/>
    </font>
    <font>
      <sz val="14"/>
      <color rgb="FFFF0000"/>
      <name val="Arial"/>
      <family val="2"/>
    </font>
    <font>
      <sz val="14"/>
      <color rgb="FFFF0000"/>
      <name val="Calibri"/>
      <family val="2"/>
      <scheme val="minor"/>
    </font>
    <font>
      <sz val="14"/>
      <color theme="1"/>
      <name val="Calibri"/>
      <family val="2"/>
      <scheme val="minor"/>
    </font>
    <font>
      <sz val="14"/>
      <color theme="1"/>
      <name val="Arial"/>
      <family val="2"/>
    </font>
    <font>
      <b/>
      <sz val="14"/>
      <color theme="0"/>
      <name val="Calibri"/>
      <family val="2"/>
      <scheme val="minor"/>
    </font>
    <font>
      <b/>
      <sz val="20"/>
      <name val="Calibri"/>
      <family val="2"/>
      <scheme val="minor"/>
    </font>
    <font>
      <b/>
      <sz val="20"/>
      <color rgb="FFFF0000"/>
      <name val="Calibri"/>
      <family val="2"/>
      <scheme val="minor"/>
    </font>
    <font>
      <b/>
      <sz val="18"/>
      <name val="Calibri"/>
      <family val="2"/>
      <scheme val="minor"/>
    </font>
    <font>
      <b/>
      <sz val="11"/>
      <color theme="1"/>
      <name val="Calibri"/>
      <family val="2"/>
    </font>
  </fonts>
  <fills count="28">
    <fill>
      <patternFill patternType="none"/>
    </fill>
    <fill>
      <patternFill patternType="gray125"/>
    </fill>
    <fill>
      <patternFill patternType="solid">
        <fgColor indexed="26"/>
        <bgColor indexed="64"/>
      </patternFill>
    </fill>
    <fill>
      <patternFill patternType="solid">
        <fgColor indexed="27"/>
        <bgColor indexed="64"/>
      </patternFill>
    </fill>
    <fill>
      <patternFill patternType="solid">
        <fgColor indexed="9"/>
        <bgColor indexed="64"/>
      </patternFill>
    </fill>
    <fill>
      <patternFill patternType="solid">
        <fgColor indexed="22"/>
        <bgColor indexed="64"/>
      </patternFill>
    </fill>
    <fill>
      <patternFill patternType="solid">
        <fgColor indexed="51"/>
        <bgColor indexed="64"/>
      </patternFill>
    </fill>
    <fill>
      <patternFill patternType="solid">
        <fgColor indexed="13"/>
        <bgColor indexed="64"/>
      </patternFill>
    </fill>
    <fill>
      <patternFill patternType="solid">
        <fgColor indexed="60"/>
        <bgColor indexed="64"/>
      </patternFill>
    </fill>
    <fill>
      <patternFill patternType="solid">
        <fgColor rgb="FF66FF99"/>
        <bgColor indexed="64"/>
      </patternFill>
    </fill>
    <fill>
      <patternFill patternType="solid">
        <fgColor theme="0" tint="-0.249977111117893"/>
        <bgColor indexed="64"/>
      </patternFill>
    </fill>
    <fill>
      <patternFill patternType="solid">
        <fgColor theme="9" tint="0.79998168889431442"/>
        <bgColor indexed="64"/>
      </patternFill>
    </fill>
    <fill>
      <patternFill patternType="solid">
        <fgColor rgb="FFCCCCFF"/>
        <bgColor indexed="64"/>
      </patternFill>
    </fill>
    <fill>
      <patternFill patternType="solid">
        <fgColor theme="7" tint="0.79998168889431442"/>
        <bgColor indexed="64"/>
      </patternFill>
    </fill>
    <fill>
      <patternFill patternType="solid">
        <fgColor rgb="FFFFFFCC"/>
        <bgColor indexed="64"/>
      </patternFill>
    </fill>
    <fill>
      <patternFill patternType="solid">
        <fgColor theme="4" tint="0.79998168889431442"/>
        <bgColor indexed="64"/>
      </patternFill>
    </fill>
    <fill>
      <patternFill patternType="solid">
        <fgColor theme="2"/>
        <bgColor indexed="64"/>
      </patternFill>
    </fill>
    <fill>
      <patternFill patternType="solid">
        <fgColor theme="2" tint="-9.9978637043366805E-2"/>
        <bgColor indexed="64"/>
      </patternFill>
    </fill>
    <fill>
      <patternFill patternType="solid">
        <fgColor rgb="FFFFC000"/>
        <bgColor indexed="64"/>
      </patternFill>
    </fill>
    <fill>
      <patternFill patternType="solid">
        <fgColor theme="1" tint="0.499984740745262"/>
        <bgColor indexed="64"/>
      </patternFill>
    </fill>
    <fill>
      <patternFill patternType="solid">
        <fgColor rgb="FFFF0000"/>
        <bgColor indexed="64"/>
      </patternFill>
    </fill>
    <fill>
      <patternFill patternType="solid">
        <fgColor theme="0"/>
        <bgColor indexed="64"/>
      </patternFill>
    </fill>
    <fill>
      <patternFill patternType="solid">
        <fgColor rgb="FFDDDDDD"/>
        <bgColor indexed="64"/>
      </patternFill>
    </fill>
    <fill>
      <patternFill patternType="solid">
        <fgColor theme="3" tint="0.79998168889431442"/>
        <bgColor indexed="64"/>
      </patternFill>
    </fill>
    <fill>
      <patternFill patternType="solid">
        <fgColor rgb="FFFED0E6"/>
        <bgColor indexed="64"/>
      </patternFill>
    </fill>
    <fill>
      <patternFill patternType="solid">
        <fgColor rgb="FFFFFF00"/>
        <bgColor indexed="64"/>
      </patternFill>
    </fill>
    <fill>
      <patternFill patternType="solid">
        <fgColor rgb="FFFFB743"/>
        <bgColor indexed="64"/>
      </patternFill>
    </fill>
    <fill>
      <patternFill patternType="solid">
        <fgColor rgb="FFFFFF66"/>
        <bgColor indexed="64"/>
      </patternFill>
    </fill>
  </fills>
  <borders count="5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bottom style="thin">
        <color indexed="64"/>
      </bottom>
      <diagonal/>
    </border>
    <border>
      <left style="medium">
        <color indexed="64"/>
      </left>
      <right style="medium">
        <color indexed="64"/>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diagonal/>
    </border>
    <border>
      <left/>
      <right/>
      <top style="thin">
        <color indexed="64"/>
      </top>
      <bottom/>
      <diagonal/>
    </border>
    <border>
      <left style="thin">
        <color indexed="64"/>
      </left>
      <right/>
      <top/>
      <bottom style="thin">
        <color indexed="64"/>
      </bottom>
      <diagonal/>
    </border>
    <border>
      <left/>
      <right/>
      <top/>
      <bottom style="thin">
        <color indexed="64"/>
      </bottom>
      <diagonal/>
    </border>
    <border>
      <left style="thin">
        <color indexed="64"/>
      </left>
      <right/>
      <top/>
      <bottom/>
      <diagonal/>
    </border>
    <border>
      <left/>
      <right style="medium">
        <color indexed="64"/>
      </right>
      <top style="medium">
        <color indexed="64"/>
      </top>
      <bottom style="medium">
        <color indexed="64"/>
      </bottom>
      <diagonal/>
    </border>
    <border>
      <left style="medium">
        <color indexed="8"/>
      </left>
      <right/>
      <top style="medium">
        <color indexed="8"/>
      </top>
      <bottom/>
      <diagonal/>
    </border>
    <border>
      <left/>
      <right/>
      <top style="medium">
        <color indexed="8"/>
      </top>
      <bottom/>
      <diagonal/>
    </border>
    <border>
      <left style="medium">
        <color indexed="8"/>
      </left>
      <right/>
      <top/>
      <bottom/>
      <diagonal/>
    </border>
    <border>
      <left style="medium">
        <color indexed="8"/>
      </left>
      <right/>
      <top/>
      <bottom style="medium">
        <color indexed="8"/>
      </bottom>
      <diagonal/>
    </border>
    <border>
      <left/>
      <right/>
      <top/>
      <bottom style="medium">
        <color indexed="8"/>
      </bottom>
      <diagonal/>
    </border>
    <border>
      <left style="medium">
        <color indexed="8"/>
      </left>
      <right/>
      <top style="medium">
        <color indexed="8"/>
      </top>
      <bottom style="medium">
        <color indexed="8"/>
      </bottom>
      <diagonal/>
    </border>
    <border>
      <left/>
      <right/>
      <top style="medium">
        <color indexed="8"/>
      </top>
      <bottom style="medium">
        <color indexed="8"/>
      </bottom>
      <diagonal/>
    </border>
    <border>
      <left/>
      <right style="medium">
        <color indexed="8"/>
      </right>
      <top style="medium">
        <color indexed="8"/>
      </top>
      <bottom/>
      <diagonal/>
    </border>
    <border>
      <left/>
      <right style="medium">
        <color indexed="8"/>
      </right>
      <top/>
      <bottom/>
      <diagonal/>
    </border>
    <border>
      <left/>
      <right style="medium">
        <color indexed="8"/>
      </right>
      <top/>
      <bottom style="medium">
        <color indexed="8"/>
      </bottom>
      <diagonal/>
    </border>
    <border>
      <left/>
      <right style="medium">
        <color indexed="8"/>
      </right>
      <top style="medium">
        <color indexed="8"/>
      </top>
      <bottom style="medium">
        <color indexed="8"/>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bottom style="medium">
        <color indexed="64"/>
      </bottom>
      <diagonal/>
    </border>
    <border>
      <left style="medium">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thin">
        <color indexed="64"/>
      </right>
      <top style="medium">
        <color indexed="64"/>
      </top>
      <bottom/>
      <diagonal/>
    </border>
    <border>
      <left style="medium">
        <color indexed="64"/>
      </left>
      <right style="thin">
        <color indexed="64"/>
      </right>
      <top/>
      <bottom style="medium">
        <color indexed="64"/>
      </bottom>
      <diagonal/>
    </border>
    <border>
      <left style="thin">
        <color indexed="64"/>
      </left>
      <right style="medium">
        <color indexed="64"/>
      </right>
      <top style="medium">
        <color indexed="64"/>
      </top>
      <bottom/>
      <diagonal/>
    </border>
    <border>
      <left style="thin">
        <color indexed="64"/>
      </left>
      <right style="medium">
        <color indexed="64"/>
      </right>
      <top/>
      <bottom style="medium">
        <color indexed="64"/>
      </bottom>
      <diagonal/>
    </border>
    <border>
      <left style="thin">
        <color indexed="64"/>
      </left>
      <right style="thin">
        <color indexed="64"/>
      </right>
      <top style="medium">
        <color indexed="64"/>
      </top>
      <bottom/>
      <diagonal/>
    </border>
    <border>
      <left style="thin">
        <color indexed="64"/>
      </left>
      <right style="thin">
        <color indexed="64"/>
      </right>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bottom style="medium">
        <color indexed="64"/>
      </bottom>
      <diagonal/>
    </border>
    <border>
      <left style="medium">
        <color indexed="64"/>
      </left>
      <right style="medium">
        <color indexed="64"/>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6">
    <xf numFmtId="0" fontId="0" fillId="0" borderId="0"/>
    <xf numFmtId="0" fontId="37" fillId="0" borderId="0" applyNumberFormat="0" applyFill="0" applyBorder="0" applyAlignment="0" applyProtection="0"/>
    <xf numFmtId="0" fontId="1" fillId="0" borderId="0"/>
    <xf numFmtId="0" fontId="1" fillId="0" borderId="0"/>
    <xf numFmtId="9" fontId="35" fillId="0" borderId="0" applyFont="0" applyFill="0" applyBorder="0" applyAlignment="0" applyProtection="0"/>
    <xf numFmtId="43" fontId="35" fillId="0" borderId="0" applyFont="0" applyFill="0" applyBorder="0" applyAlignment="0" applyProtection="0"/>
  </cellStyleXfs>
  <cellXfs count="295">
    <xf numFmtId="0" fontId="0" fillId="0" borderId="0" xfId="0"/>
    <xf numFmtId="0" fontId="0" fillId="0" borderId="0" xfId="0" applyAlignment="1">
      <alignment horizontal="center"/>
    </xf>
    <xf numFmtId="165" fontId="0" fillId="0" borderId="0" xfId="0" applyNumberFormat="1"/>
    <xf numFmtId="3" fontId="0" fillId="0" borderId="1" xfId="0" applyNumberFormat="1" applyBorder="1"/>
    <xf numFmtId="3" fontId="0" fillId="0" borderId="1" xfId="0" applyNumberFormat="1" applyBorder="1" applyAlignment="1">
      <alignment horizontal="center"/>
    </xf>
    <xf numFmtId="3" fontId="0" fillId="9" borderId="1" xfId="0" applyNumberFormat="1" applyFill="1" applyBorder="1" applyAlignment="1">
      <alignment horizontal="center"/>
    </xf>
    <xf numFmtId="3" fontId="0" fillId="0" borderId="2" xfId="0" applyNumberFormat="1" applyBorder="1"/>
    <xf numFmtId="3" fontId="0" fillId="0" borderId="2" xfId="0" applyNumberFormat="1" applyBorder="1" applyAlignment="1">
      <alignment horizontal="center"/>
    </xf>
    <xf numFmtId="0" fontId="0" fillId="0" borderId="3" xfId="0" applyBorder="1"/>
    <xf numFmtId="0" fontId="0" fillId="0" borderId="3" xfId="0" applyBorder="1" applyAlignment="1">
      <alignment horizontal="center" vertical="center"/>
    </xf>
    <xf numFmtId="0" fontId="0" fillId="0" borderId="4" xfId="0" applyBorder="1"/>
    <xf numFmtId="0" fontId="0" fillId="0" borderId="4" xfId="0" applyBorder="1" applyAlignment="1">
      <alignment horizontal="center" vertical="center"/>
    </xf>
    <xf numFmtId="3" fontId="0" fillId="0" borderId="5" xfId="0" applyNumberFormat="1" applyBorder="1"/>
    <xf numFmtId="3" fontId="0" fillId="0" borderId="6" xfId="0" applyNumberFormat="1" applyBorder="1"/>
    <xf numFmtId="3" fontId="0" fillId="9" borderId="6" xfId="0" applyNumberFormat="1" applyFill="1" applyBorder="1"/>
    <xf numFmtId="164" fontId="0" fillId="0" borderId="7" xfId="0" applyNumberFormat="1" applyBorder="1" applyAlignment="1">
      <alignment horizontal="center"/>
    </xf>
    <xf numFmtId="164" fontId="0" fillId="0" borderId="8" xfId="0" applyNumberFormat="1" applyBorder="1" applyAlignment="1">
      <alignment horizontal="center"/>
    </xf>
    <xf numFmtId="165" fontId="0" fillId="0" borderId="9" xfId="0" applyNumberFormat="1" applyBorder="1"/>
    <xf numFmtId="0" fontId="0" fillId="10" borderId="10" xfId="0" applyFill="1" applyBorder="1" applyAlignment="1">
      <alignment horizontal="center" vertical="center"/>
    </xf>
    <xf numFmtId="0" fontId="0" fillId="10" borderId="11" xfId="0" applyFill="1" applyBorder="1" applyAlignment="1">
      <alignment horizontal="center" vertical="center"/>
    </xf>
    <xf numFmtId="0" fontId="0" fillId="10" borderId="11" xfId="0" applyFill="1" applyBorder="1" applyAlignment="1">
      <alignment horizontal="center" vertical="center" wrapText="1"/>
    </xf>
    <xf numFmtId="168" fontId="0" fillId="0" borderId="0" xfId="0" applyNumberFormat="1"/>
    <xf numFmtId="165" fontId="0" fillId="0" borderId="12" xfId="0" applyNumberFormat="1" applyBorder="1" applyAlignment="1">
      <alignment horizontal="center"/>
    </xf>
    <xf numFmtId="165" fontId="0" fillId="0" borderId="9" xfId="0" applyNumberFormat="1" applyBorder="1" applyAlignment="1">
      <alignment horizontal="center"/>
    </xf>
    <xf numFmtId="0" fontId="39" fillId="0" borderId="13" xfId="0" applyFont="1" applyBorder="1" applyAlignment="1">
      <alignment horizontal="center" vertical="center"/>
    </xf>
    <xf numFmtId="0" fontId="39" fillId="0" borderId="0" xfId="0" applyFont="1" applyAlignment="1">
      <alignment horizontal="center" vertical="center"/>
    </xf>
    <xf numFmtId="166" fontId="40" fillId="0" borderId="0" xfId="5" applyNumberFormat="1" applyFont="1" applyAlignment="1">
      <alignment horizontal="center" vertical="center"/>
    </xf>
    <xf numFmtId="167" fontId="40" fillId="0" borderId="0" xfId="4" applyNumberFormat="1" applyFont="1" applyAlignment="1">
      <alignment horizontal="center" vertical="center"/>
    </xf>
    <xf numFmtId="9" fontId="40" fillId="0" borderId="0" xfId="4" applyFont="1" applyAlignment="1">
      <alignment horizontal="center" vertical="center"/>
    </xf>
    <xf numFmtId="0" fontId="40" fillId="0" borderId="0" xfId="0" applyFont="1" applyAlignment="1">
      <alignment horizontal="center" vertical="center"/>
    </xf>
    <xf numFmtId="0" fontId="39" fillId="0" borderId="14" xfId="0" applyFont="1" applyBorder="1" applyAlignment="1">
      <alignment horizontal="center" vertical="center"/>
    </xf>
    <xf numFmtId="0" fontId="41" fillId="0" borderId="0" xfId="0" applyFont="1" applyAlignment="1">
      <alignment horizontal="center" vertical="center"/>
    </xf>
    <xf numFmtId="0" fontId="42" fillId="0" borderId="0" xfId="0" applyFont="1" applyAlignment="1">
      <alignment horizontal="center" vertical="center"/>
    </xf>
    <xf numFmtId="166" fontId="41" fillId="0" borderId="0" xfId="0" applyNumberFormat="1" applyFont="1" applyAlignment="1">
      <alignment horizontal="center" vertical="center"/>
    </xf>
    <xf numFmtId="167" fontId="41" fillId="0" borderId="0" xfId="4" applyNumberFormat="1" applyFont="1" applyAlignment="1">
      <alignment horizontal="center" vertical="center"/>
    </xf>
    <xf numFmtId="0" fontId="39" fillId="11" borderId="13" xfId="0" applyFont="1" applyFill="1" applyBorder="1" applyAlignment="1">
      <alignment horizontal="center" vertical="center"/>
    </xf>
    <xf numFmtId="0" fontId="39" fillId="12" borderId="13" xfId="0" applyFont="1" applyFill="1" applyBorder="1" applyAlignment="1">
      <alignment horizontal="center" vertical="center"/>
    </xf>
    <xf numFmtId="0" fontId="39" fillId="13" borderId="13" xfId="0" applyFont="1" applyFill="1" applyBorder="1" applyAlignment="1">
      <alignment horizontal="center" vertical="center"/>
    </xf>
    <xf numFmtId="0" fontId="39" fillId="11" borderId="13" xfId="0" applyFont="1" applyFill="1" applyBorder="1" applyAlignment="1">
      <alignment horizontal="center" vertical="center" wrapText="1"/>
    </xf>
    <xf numFmtId="0" fontId="39" fillId="14" borderId="13" xfId="0" applyFont="1" applyFill="1" applyBorder="1" applyAlignment="1">
      <alignment horizontal="center" vertical="center" wrapText="1"/>
    </xf>
    <xf numFmtId="0" fontId="39" fillId="15" borderId="13" xfId="0" applyFont="1" applyFill="1" applyBorder="1" applyAlignment="1">
      <alignment horizontal="center" vertical="center" wrapText="1"/>
    </xf>
    <xf numFmtId="0" fontId="39" fillId="12" borderId="13" xfId="0" applyFont="1" applyFill="1" applyBorder="1" applyAlignment="1">
      <alignment horizontal="center" vertical="center" wrapText="1"/>
    </xf>
    <xf numFmtId="0" fontId="39" fillId="13" borderId="13" xfId="0" applyFont="1" applyFill="1" applyBorder="1" applyAlignment="1">
      <alignment horizontal="center" vertical="center" wrapText="1"/>
    </xf>
    <xf numFmtId="166" fontId="39" fillId="11" borderId="13" xfId="5" applyNumberFormat="1" applyFont="1" applyFill="1" applyBorder="1" applyAlignment="1">
      <alignment horizontal="center" vertical="center"/>
    </xf>
    <xf numFmtId="167" fontId="39" fillId="11" borderId="13" xfId="5" applyNumberFormat="1" applyFont="1" applyFill="1" applyBorder="1" applyAlignment="1">
      <alignment horizontal="center" vertical="center"/>
    </xf>
    <xf numFmtId="10" fontId="39" fillId="11" borderId="13" xfId="4" applyNumberFormat="1" applyFont="1" applyFill="1" applyBorder="1" applyAlignment="1">
      <alignment horizontal="center" vertical="center"/>
    </xf>
    <xf numFmtId="166" fontId="39" fillId="14" borderId="13" xfId="5" applyNumberFormat="1" applyFont="1" applyFill="1" applyBorder="1" applyAlignment="1">
      <alignment horizontal="center" vertical="center"/>
    </xf>
    <xf numFmtId="0" fontId="39" fillId="14" borderId="13" xfId="5" applyNumberFormat="1" applyFont="1" applyFill="1" applyBorder="1" applyAlignment="1">
      <alignment horizontal="center" vertical="center"/>
    </xf>
    <xf numFmtId="3" fontId="39" fillId="15" borderId="13" xfId="5" applyNumberFormat="1" applyFont="1" applyFill="1" applyBorder="1" applyAlignment="1">
      <alignment horizontal="center" vertical="center"/>
    </xf>
    <xf numFmtId="166" fontId="39" fillId="12" borderId="13" xfId="5" applyNumberFormat="1" applyFont="1" applyFill="1" applyBorder="1" applyAlignment="1">
      <alignment horizontal="center" vertical="center"/>
    </xf>
    <xf numFmtId="167" fontId="39" fillId="12" borderId="13" xfId="4" applyNumberFormat="1" applyFont="1" applyFill="1" applyBorder="1" applyAlignment="1">
      <alignment horizontal="center" vertical="center"/>
    </xf>
    <xf numFmtId="9" fontId="39" fillId="13" borderId="13" xfId="0" applyNumberFormat="1" applyFont="1" applyFill="1" applyBorder="1" applyAlignment="1">
      <alignment horizontal="center" vertical="center"/>
    </xf>
    <xf numFmtId="167" fontId="39" fillId="14" borderId="13" xfId="5" applyNumberFormat="1" applyFont="1" applyFill="1" applyBorder="1" applyAlignment="1">
      <alignment horizontal="center" vertical="center"/>
    </xf>
    <xf numFmtId="166" fontId="39" fillId="16" borderId="13" xfId="5" applyNumberFormat="1" applyFont="1" applyFill="1" applyBorder="1" applyAlignment="1">
      <alignment horizontal="center" vertical="center"/>
    </xf>
    <xf numFmtId="9" fontId="39" fillId="16" borderId="13" xfId="4" applyFont="1" applyFill="1" applyBorder="1" applyAlignment="1">
      <alignment horizontal="center" vertical="center"/>
    </xf>
    <xf numFmtId="3" fontId="39" fillId="16" borderId="13" xfId="5" applyNumberFormat="1" applyFont="1" applyFill="1" applyBorder="1" applyAlignment="1">
      <alignment horizontal="center" vertical="center"/>
    </xf>
    <xf numFmtId="167" fontId="39" fillId="16" borderId="13" xfId="4" applyNumberFormat="1" applyFont="1" applyFill="1" applyBorder="1" applyAlignment="1">
      <alignment horizontal="center" vertical="center"/>
    </xf>
    <xf numFmtId="2" fontId="39" fillId="16" borderId="13" xfId="5" applyNumberFormat="1" applyFont="1" applyFill="1" applyBorder="1" applyAlignment="1">
      <alignment horizontal="center" vertical="center"/>
    </xf>
    <xf numFmtId="3" fontId="39" fillId="16" borderId="13" xfId="0" applyNumberFormat="1" applyFont="1" applyFill="1" applyBorder="1" applyAlignment="1">
      <alignment horizontal="center" vertical="center"/>
    </xf>
    <xf numFmtId="9" fontId="39" fillId="16" borderId="13" xfId="0" applyNumberFormat="1" applyFont="1" applyFill="1" applyBorder="1" applyAlignment="1">
      <alignment horizontal="center" vertical="center"/>
    </xf>
    <xf numFmtId="3" fontId="39" fillId="13" borderId="13" xfId="0" applyNumberFormat="1" applyFont="1" applyFill="1" applyBorder="1" applyAlignment="1">
      <alignment horizontal="center" vertical="center"/>
    </xf>
    <xf numFmtId="0" fontId="39" fillId="0" borderId="14" xfId="0" applyFont="1" applyBorder="1" applyAlignment="1">
      <alignment vertical="center"/>
    </xf>
    <xf numFmtId="0" fontId="43" fillId="0" borderId="0" xfId="0" applyFont="1"/>
    <xf numFmtId="0" fontId="3" fillId="0" borderId="0" xfId="0" applyFont="1"/>
    <xf numFmtId="0" fontId="4" fillId="17" borderId="0" xfId="0" applyFont="1" applyFill="1"/>
    <xf numFmtId="0" fontId="7" fillId="17" borderId="0" xfId="0" applyFont="1" applyFill="1"/>
    <xf numFmtId="0" fontId="43" fillId="12" borderId="1" xfId="0" applyFont="1" applyFill="1" applyBorder="1"/>
    <xf numFmtId="0" fontId="3" fillId="0" borderId="1" xfId="0" applyFont="1" applyBorder="1"/>
    <xf numFmtId="0" fontId="3" fillId="12" borderId="1" xfId="0" applyFont="1" applyFill="1" applyBorder="1"/>
    <xf numFmtId="0" fontId="3" fillId="0" borderId="1" xfId="0" applyFont="1" applyBorder="1" applyAlignment="1">
      <alignment vertical="center"/>
    </xf>
    <xf numFmtId="0" fontId="3" fillId="12" borderId="1" xfId="0" applyFont="1" applyFill="1" applyBorder="1" applyAlignment="1">
      <alignment wrapText="1"/>
    </xf>
    <xf numFmtId="0" fontId="0" fillId="12" borderId="1" xfId="0" applyFill="1" applyBorder="1"/>
    <xf numFmtId="0" fontId="43" fillId="12" borderId="1" xfId="0" applyFont="1" applyFill="1" applyBorder="1" applyAlignment="1">
      <alignment vertical="center"/>
    </xf>
    <xf numFmtId="0" fontId="3" fillId="15" borderId="1" xfId="0" applyFont="1" applyFill="1" applyBorder="1"/>
    <xf numFmtId="0" fontId="43" fillId="15" borderId="1" xfId="0" applyFont="1" applyFill="1" applyBorder="1"/>
    <xf numFmtId="0" fontId="43" fillId="0" borderId="1" xfId="0" applyFont="1" applyBorder="1"/>
    <xf numFmtId="3" fontId="3" fillId="14" borderId="1" xfId="0" applyNumberFormat="1" applyFont="1" applyFill="1" applyBorder="1" applyAlignment="1" applyProtection="1">
      <alignment horizontal="left" vertical="center"/>
      <protection locked="0"/>
    </xf>
    <xf numFmtId="0" fontId="3" fillId="14" borderId="1" xfId="0" applyFont="1" applyFill="1" applyBorder="1"/>
    <xf numFmtId="0" fontId="3" fillId="14" borderId="1" xfId="0" applyFont="1" applyFill="1" applyBorder="1" applyAlignment="1">
      <alignment wrapText="1"/>
    </xf>
    <xf numFmtId="0" fontId="43" fillId="14" borderId="1" xfId="0" applyFont="1" applyFill="1" applyBorder="1"/>
    <xf numFmtId="3" fontId="3" fillId="11" borderId="1" xfId="0" applyNumberFormat="1" applyFont="1" applyFill="1" applyBorder="1" applyAlignment="1" applyProtection="1">
      <alignment horizontal="left" vertical="center"/>
      <protection locked="0"/>
    </xf>
    <xf numFmtId="0" fontId="3" fillId="11" borderId="1" xfId="0" applyFont="1" applyFill="1" applyBorder="1"/>
    <xf numFmtId="0" fontId="3" fillId="11" borderId="1" xfId="0" applyFont="1" applyFill="1" applyBorder="1" applyAlignment="1">
      <alignment wrapText="1"/>
    </xf>
    <xf numFmtId="0" fontId="43" fillId="11" borderId="1" xfId="0" applyFont="1" applyFill="1" applyBorder="1"/>
    <xf numFmtId="0" fontId="3" fillId="18" borderId="1" xfId="0" applyFont="1" applyFill="1" applyBorder="1"/>
    <xf numFmtId="0" fontId="3" fillId="19" borderId="1" xfId="0" applyFont="1" applyFill="1" applyBorder="1"/>
    <xf numFmtId="0" fontId="3" fillId="13" borderId="1" xfId="0" applyFont="1" applyFill="1" applyBorder="1"/>
    <xf numFmtId="0" fontId="44" fillId="20" borderId="1" xfId="0" applyFont="1" applyFill="1" applyBorder="1"/>
    <xf numFmtId="0" fontId="43" fillId="14" borderId="2" xfId="0" applyFont="1" applyFill="1" applyBorder="1"/>
    <xf numFmtId="0" fontId="43" fillId="14" borderId="15" xfId="0" applyFont="1" applyFill="1" applyBorder="1"/>
    <xf numFmtId="0" fontId="43" fillId="0" borderId="16" xfId="0" applyFont="1" applyBorder="1"/>
    <xf numFmtId="0" fontId="3" fillId="0" borderId="16" xfId="0" applyFont="1" applyBorder="1"/>
    <xf numFmtId="0" fontId="4" fillId="17" borderId="17" xfId="0" applyFont="1" applyFill="1" applyBorder="1"/>
    <xf numFmtId="0" fontId="0" fillId="0" borderId="16" xfId="0" applyBorder="1"/>
    <xf numFmtId="0" fontId="43" fillId="13" borderId="1" xfId="0" applyFont="1" applyFill="1" applyBorder="1"/>
    <xf numFmtId="0" fontId="0" fillId="14" borderId="1" xfId="0" applyFill="1" applyBorder="1"/>
    <xf numFmtId="0" fontId="0" fillId="13" borderId="1" xfId="0" applyFill="1" applyBorder="1"/>
    <xf numFmtId="0" fontId="45" fillId="0" borderId="1" xfId="0" applyFont="1" applyBorder="1"/>
    <xf numFmtId="0" fontId="46" fillId="0" borderId="1" xfId="0" applyFont="1" applyBorder="1"/>
    <xf numFmtId="0" fontId="47" fillId="18" borderId="1" xfId="0" applyFont="1" applyFill="1" applyBorder="1"/>
    <xf numFmtId="0" fontId="47" fillId="19" borderId="1" xfId="0" applyFont="1" applyFill="1" applyBorder="1"/>
    <xf numFmtId="0" fontId="48" fillId="11" borderId="1" xfId="0" applyFont="1" applyFill="1" applyBorder="1"/>
    <xf numFmtId="3" fontId="8" fillId="14" borderId="1" xfId="0" applyNumberFormat="1" applyFont="1" applyFill="1" applyBorder="1" applyAlignment="1" applyProtection="1">
      <alignment horizontal="left" vertical="center"/>
      <protection locked="0"/>
    </xf>
    <xf numFmtId="0" fontId="48" fillId="14" borderId="1" xfId="0" applyFont="1" applyFill="1" applyBorder="1"/>
    <xf numFmtId="0" fontId="48" fillId="12" borderId="1" xfId="0" applyFont="1" applyFill="1" applyBorder="1"/>
    <xf numFmtId="0" fontId="48" fillId="13" borderId="1" xfId="0" applyFont="1" applyFill="1" applyBorder="1"/>
    <xf numFmtId="0" fontId="0" fillId="18" borderId="1" xfId="0" applyFill="1" applyBorder="1"/>
    <xf numFmtId="0" fontId="0" fillId="19" borderId="1" xfId="0" applyFill="1" applyBorder="1"/>
    <xf numFmtId="0" fontId="0" fillId="11" borderId="1" xfId="0" applyFill="1" applyBorder="1"/>
    <xf numFmtId="0" fontId="48" fillId="17" borderId="1" xfId="0" applyFont="1" applyFill="1" applyBorder="1"/>
    <xf numFmtId="0" fontId="0" fillId="17" borderId="1" xfId="0" applyFill="1" applyBorder="1"/>
    <xf numFmtId="165" fontId="39" fillId="0" borderId="13" xfId="0" applyNumberFormat="1" applyFont="1" applyBorder="1" applyAlignment="1" applyProtection="1">
      <alignment horizontal="center" vertical="center"/>
      <protection locked="0"/>
    </xf>
    <xf numFmtId="166" fontId="39" fillId="0" borderId="13" xfId="5" applyNumberFormat="1" applyFont="1" applyBorder="1" applyAlignment="1" applyProtection="1">
      <alignment horizontal="center" vertical="center"/>
      <protection locked="0"/>
    </xf>
    <xf numFmtId="166" fontId="39" fillId="21" borderId="13" xfId="5" applyNumberFormat="1" applyFont="1" applyFill="1" applyBorder="1" applyAlignment="1" applyProtection="1">
      <alignment horizontal="center" vertical="center"/>
      <protection locked="0"/>
    </xf>
    <xf numFmtId="166" fontId="39" fillId="0" borderId="13" xfId="5" applyNumberFormat="1" applyFont="1" applyFill="1" applyBorder="1" applyAlignment="1" applyProtection="1">
      <alignment horizontal="center" vertical="center" wrapText="1"/>
      <protection locked="0"/>
    </xf>
    <xf numFmtId="3" fontId="39" fillId="0" borderId="13" xfId="3" applyNumberFormat="1" applyFont="1" applyBorder="1" applyAlignment="1" applyProtection="1">
      <alignment horizontal="center" vertical="center"/>
      <protection locked="0"/>
    </xf>
    <xf numFmtId="0" fontId="39" fillId="21" borderId="13" xfId="0" applyFont="1" applyFill="1" applyBorder="1" applyAlignment="1" applyProtection="1">
      <alignment horizontal="center" vertical="center"/>
      <protection locked="0"/>
    </xf>
    <xf numFmtId="3" fontId="39" fillId="0" borderId="13" xfId="0" applyNumberFormat="1" applyFont="1" applyBorder="1" applyAlignment="1" applyProtection="1">
      <alignment horizontal="center" vertical="center"/>
      <protection locked="0"/>
    </xf>
    <xf numFmtId="0" fontId="39" fillId="0" borderId="13" xfId="0" applyFont="1" applyBorder="1" applyAlignment="1" applyProtection="1">
      <alignment horizontal="center" vertical="center"/>
      <protection locked="0"/>
    </xf>
    <xf numFmtId="0" fontId="3" fillId="22" borderId="1" xfId="0" applyFont="1" applyFill="1" applyBorder="1"/>
    <xf numFmtId="0" fontId="43" fillId="17" borderId="0" xfId="0" applyFont="1" applyFill="1"/>
    <xf numFmtId="0" fontId="43" fillId="17" borderId="18" xfId="0" applyFont="1" applyFill="1" applyBorder="1"/>
    <xf numFmtId="0" fontId="43" fillId="17" borderId="5" xfId="0" applyFont="1" applyFill="1" applyBorder="1"/>
    <xf numFmtId="0" fontId="3" fillId="17" borderId="18" xfId="0" applyFont="1" applyFill="1" applyBorder="1"/>
    <xf numFmtId="0" fontId="3" fillId="17" borderId="5" xfId="0" applyFont="1" applyFill="1" applyBorder="1"/>
    <xf numFmtId="0" fontId="0" fillId="17" borderId="18" xfId="0" applyFill="1" applyBorder="1"/>
    <xf numFmtId="0" fontId="0" fillId="17" borderId="5" xfId="0" applyFill="1" applyBorder="1"/>
    <xf numFmtId="0" fontId="0" fillId="17" borderId="0" xfId="0" applyFill="1"/>
    <xf numFmtId="10" fontId="39" fillId="16" borderId="13" xfId="4" applyNumberFormat="1" applyFont="1" applyFill="1" applyBorder="1" applyAlignment="1">
      <alignment horizontal="center" vertical="center"/>
    </xf>
    <xf numFmtId="0" fontId="43" fillId="11" borderId="16" xfId="0" applyFont="1" applyFill="1" applyBorder="1"/>
    <xf numFmtId="0" fontId="43" fillId="11" borderId="15" xfId="0" applyFont="1" applyFill="1" applyBorder="1"/>
    <xf numFmtId="0" fontId="3" fillId="0" borderId="6" xfId="0" applyFont="1" applyBorder="1"/>
    <xf numFmtId="0" fontId="3" fillId="11" borderId="8" xfId="0" applyFont="1" applyFill="1" applyBorder="1" applyAlignment="1">
      <alignment horizontal="left" vertical="center" wrapText="1"/>
    </xf>
    <xf numFmtId="0" fontId="0" fillId="0" borderId="19" xfId="0" applyBorder="1"/>
    <xf numFmtId="0" fontId="43" fillId="13" borderId="1" xfId="0" applyFont="1" applyFill="1" applyBorder="1" applyAlignment="1">
      <alignment wrapText="1"/>
    </xf>
    <xf numFmtId="0" fontId="43" fillId="0" borderId="1" xfId="0" applyFont="1" applyBorder="1" applyAlignment="1">
      <alignment wrapText="1"/>
    </xf>
    <xf numFmtId="0" fontId="3" fillId="0" borderId="1" xfId="0" applyFont="1" applyBorder="1" applyAlignment="1">
      <alignment horizontal="left" vertical="center"/>
    </xf>
    <xf numFmtId="0" fontId="3" fillId="0" borderId="6" xfId="0" applyFont="1" applyBorder="1" applyAlignment="1">
      <alignment horizontal="left" vertical="center"/>
    </xf>
    <xf numFmtId="166" fontId="39" fillId="11" borderId="13" xfId="5" applyNumberFormat="1" applyFont="1" applyFill="1" applyBorder="1" applyAlignment="1" applyProtection="1">
      <alignment horizontal="center" vertical="center"/>
    </xf>
    <xf numFmtId="166" fontId="39" fillId="16" borderId="13" xfId="5" applyNumberFormat="1" applyFont="1" applyFill="1" applyBorder="1" applyAlignment="1" applyProtection="1">
      <alignment horizontal="center" vertical="center"/>
    </xf>
    <xf numFmtId="1" fontId="39" fillId="0" borderId="13" xfId="5" applyNumberFormat="1" applyFont="1" applyFill="1" applyBorder="1" applyAlignment="1" applyProtection="1">
      <alignment horizontal="center" vertical="center"/>
      <protection locked="0"/>
    </xf>
    <xf numFmtId="0" fontId="39" fillId="13" borderId="13" xfId="0" applyFont="1" applyFill="1" applyBorder="1" applyAlignment="1" applyProtection="1">
      <alignment horizontal="center" vertical="center" wrapText="1"/>
      <protection locked="0"/>
    </xf>
    <xf numFmtId="0" fontId="49" fillId="20" borderId="20" xfId="0" applyFont="1" applyFill="1" applyBorder="1" applyAlignment="1" applyProtection="1">
      <alignment horizontal="center" vertical="center"/>
      <protection locked="0"/>
    </xf>
    <xf numFmtId="164" fontId="39" fillId="17" borderId="13" xfId="0" applyNumberFormat="1" applyFont="1" applyFill="1" applyBorder="1" applyAlignment="1">
      <alignment horizontal="center" vertical="center"/>
    </xf>
    <xf numFmtId="165" fontId="39" fillId="17" borderId="13" xfId="0" applyNumberFormat="1" applyFont="1" applyFill="1" applyBorder="1" applyAlignment="1">
      <alignment horizontal="center" vertical="center"/>
    </xf>
    <xf numFmtId="0" fontId="43" fillId="0" borderId="1" xfId="0" applyFont="1" applyBorder="1" applyAlignment="1">
      <alignment vertical="center" wrapText="1"/>
    </xf>
    <xf numFmtId="0" fontId="36" fillId="20" borderId="1" xfId="0" applyFont="1" applyFill="1" applyBorder="1"/>
    <xf numFmtId="0" fontId="13" fillId="0" borderId="0" xfId="0" applyFont="1"/>
    <xf numFmtId="0" fontId="13" fillId="0" borderId="0" xfId="0" applyFont="1" applyAlignment="1">
      <alignment horizontal="center"/>
    </xf>
    <xf numFmtId="0" fontId="15" fillId="0" borderId="0" xfId="0" applyFont="1"/>
    <xf numFmtId="0" fontId="10" fillId="2" borderId="1" xfId="0" applyFont="1" applyFill="1" applyBorder="1" applyAlignment="1">
      <alignment horizontal="center" vertical="center"/>
    </xf>
    <xf numFmtId="0" fontId="15" fillId="5" borderId="1" xfId="0" applyFont="1" applyFill="1" applyBorder="1" applyAlignment="1">
      <alignment horizontal="center" vertical="center"/>
    </xf>
    <xf numFmtId="0" fontId="16" fillId="0" borderId="0" xfId="0" applyFont="1"/>
    <xf numFmtId="0" fontId="15" fillId="18" borderId="1" xfId="0" applyFont="1" applyFill="1" applyBorder="1" applyAlignment="1">
      <alignment horizontal="center" vertical="center"/>
    </xf>
    <xf numFmtId="170" fontId="13" fillId="23" borderId="1" xfId="0" applyNumberFormat="1" applyFont="1" applyFill="1" applyBorder="1" applyAlignment="1">
      <alignment horizontal="center"/>
    </xf>
    <xf numFmtId="2" fontId="13" fillId="13" borderId="1" xfId="0" applyNumberFormat="1" applyFont="1" applyFill="1" applyBorder="1" applyAlignment="1">
      <alignment horizontal="center"/>
    </xf>
    <xf numFmtId="2" fontId="13" fillId="15" borderId="1" xfId="0" applyNumberFormat="1" applyFont="1" applyFill="1" applyBorder="1" applyAlignment="1">
      <alignment horizontal="center"/>
    </xf>
    <xf numFmtId="2" fontId="13" fillId="24" borderId="1" xfId="0" applyNumberFormat="1" applyFont="1" applyFill="1" applyBorder="1" applyAlignment="1">
      <alignment horizontal="center"/>
    </xf>
    <xf numFmtId="2" fontId="13" fillId="12" borderId="1" xfId="0" applyNumberFormat="1" applyFont="1" applyFill="1" applyBorder="1" applyAlignment="1">
      <alignment horizontal="center"/>
    </xf>
    <xf numFmtId="2" fontId="18" fillId="11" borderId="1" xfId="0" applyNumberFormat="1" applyFont="1" applyFill="1" applyBorder="1" applyAlignment="1">
      <alignment horizontal="center"/>
    </xf>
    <xf numFmtId="0" fontId="13" fillId="11" borderId="1" xfId="0" applyFont="1" applyFill="1" applyBorder="1" applyAlignment="1">
      <alignment horizontal="center"/>
    </xf>
    <xf numFmtId="0" fontId="14" fillId="11" borderId="1" xfId="0" applyFont="1" applyFill="1" applyBorder="1" applyAlignment="1">
      <alignment horizontal="center"/>
    </xf>
    <xf numFmtId="0" fontId="19" fillId="11" borderId="0" xfId="0" applyFont="1" applyFill="1" applyAlignment="1">
      <alignment horizontal="center" vertical="center"/>
    </xf>
    <xf numFmtId="2" fontId="14" fillId="11" borderId="1" xfId="0" applyNumberFormat="1" applyFont="1" applyFill="1" applyBorder="1" applyAlignment="1">
      <alignment horizontal="center"/>
    </xf>
    <xf numFmtId="2" fontId="13" fillId="0" borderId="1" xfId="0" applyNumberFormat="1" applyFont="1" applyBorder="1" applyAlignment="1" applyProtection="1">
      <alignment horizontal="center"/>
      <protection locked="0"/>
    </xf>
    <xf numFmtId="0" fontId="13" fillId="0" borderId="1" xfId="0" applyFont="1" applyBorder="1" applyAlignment="1" applyProtection="1">
      <alignment horizontal="center"/>
      <protection locked="0"/>
    </xf>
    <xf numFmtId="170" fontId="13" fillId="0" borderId="1" xfId="0" applyNumberFormat="1" applyFont="1" applyBorder="1" applyAlignment="1" applyProtection="1">
      <alignment horizontal="center"/>
      <protection locked="0"/>
    </xf>
    <xf numFmtId="169" fontId="13" fillId="0" borderId="1" xfId="0" applyNumberFormat="1" applyFont="1" applyBorder="1" applyAlignment="1" applyProtection="1">
      <alignment horizontal="center"/>
      <protection locked="0"/>
    </xf>
    <xf numFmtId="3" fontId="8" fillId="11" borderId="1" xfId="0" applyNumberFormat="1" applyFont="1" applyFill="1" applyBorder="1" applyAlignment="1" applyProtection="1">
      <alignment horizontal="left" vertical="center" wrapText="1"/>
      <protection locked="0"/>
    </xf>
    <xf numFmtId="0" fontId="39" fillId="25" borderId="13" xfId="0" applyFont="1" applyFill="1" applyBorder="1" applyAlignment="1">
      <alignment horizontal="center" vertical="center" wrapText="1"/>
    </xf>
    <xf numFmtId="2" fontId="39" fillId="25" borderId="13" xfId="5" applyNumberFormat="1" applyFont="1" applyFill="1" applyBorder="1" applyAlignment="1">
      <alignment horizontal="center" vertical="center"/>
    </xf>
    <xf numFmtId="0" fontId="39" fillId="26" borderId="13" xfId="0" applyFont="1" applyFill="1" applyBorder="1" applyAlignment="1">
      <alignment horizontal="center" vertical="center" wrapText="1"/>
    </xf>
    <xf numFmtId="10" fontId="39" fillId="26" borderId="13" xfId="4" applyNumberFormat="1" applyFont="1" applyFill="1" applyBorder="1" applyAlignment="1">
      <alignment horizontal="center" vertical="center"/>
    </xf>
    <xf numFmtId="0" fontId="50" fillId="14" borderId="14" xfId="0" applyFont="1" applyFill="1" applyBorder="1" applyAlignment="1" applyProtection="1">
      <alignment vertical="center"/>
      <protection locked="0"/>
    </xf>
    <xf numFmtId="0" fontId="40" fillId="26" borderId="0" xfId="0" applyFont="1" applyFill="1" applyAlignment="1">
      <alignment horizontal="center" vertical="center"/>
    </xf>
    <xf numFmtId="0" fontId="40" fillId="25" borderId="0" xfId="0" applyFont="1" applyFill="1" applyAlignment="1">
      <alignment horizontal="center" vertical="center"/>
    </xf>
    <xf numFmtId="0" fontId="20" fillId="4" borderId="2" xfId="0" applyFont="1" applyFill="1" applyBorder="1" applyAlignment="1" applyProtection="1">
      <alignment horizontal="center"/>
      <protection locked="0"/>
    </xf>
    <xf numFmtId="0" fontId="20" fillId="4" borderId="1" xfId="0" applyFont="1" applyFill="1" applyBorder="1" applyAlignment="1" applyProtection="1">
      <alignment horizontal="center"/>
      <protection locked="0"/>
    </xf>
    <xf numFmtId="0" fontId="21" fillId="0" borderId="0" xfId="0" applyFont="1" applyAlignment="1" applyProtection="1">
      <alignment horizontal="center"/>
      <protection locked="0"/>
    </xf>
    <xf numFmtId="0" fontId="21" fillId="0" borderId="1" xfId="0" applyFont="1" applyBorder="1" applyAlignment="1" applyProtection="1">
      <alignment horizontal="center"/>
      <protection locked="0"/>
    </xf>
    <xf numFmtId="0" fontId="38" fillId="0" borderId="0" xfId="0" applyFont="1" applyAlignment="1">
      <alignment vertical="top" wrapText="1"/>
    </xf>
    <xf numFmtId="0" fontId="0" fillId="0" borderId="0" xfId="0" applyAlignment="1">
      <alignment vertical="top" wrapText="1"/>
    </xf>
    <xf numFmtId="0" fontId="0" fillId="0" borderId="21" xfId="0" applyBorder="1" applyAlignment="1">
      <alignment vertical="top" wrapText="1"/>
    </xf>
    <xf numFmtId="0" fontId="0" fillId="0" borderId="22" xfId="0" applyBorder="1" applyAlignment="1">
      <alignment vertical="top" wrapText="1"/>
    </xf>
    <xf numFmtId="0" fontId="0" fillId="0" borderId="23" xfId="0" applyBorder="1" applyAlignment="1">
      <alignment vertical="top" wrapText="1"/>
    </xf>
    <xf numFmtId="0" fontId="0" fillId="0" borderId="24" xfId="0" applyBorder="1" applyAlignment="1">
      <alignment vertical="top" wrapText="1"/>
    </xf>
    <xf numFmtId="0" fontId="0" fillId="0" borderId="25" xfId="0" applyBorder="1" applyAlignment="1">
      <alignment vertical="top" wrapText="1"/>
    </xf>
    <xf numFmtId="0" fontId="0" fillId="0" borderId="26" xfId="0" applyBorder="1" applyAlignment="1">
      <alignment vertical="top" wrapText="1"/>
    </xf>
    <xf numFmtId="0" fontId="0" fillId="0" borderId="27" xfId="0" applyBorder="1" applyAlignment="1">
      <alignment vertical="top" wrapText="1"/>
    </xf>
    <xf numFmtId="0" fontId="38" fillId="0" borderId="0" xfId="0" applyFont="1" applyAlignment="1">
      <alignment horizontal="center" vertical="top" wrapText="1"/>
    </xf>
    <xf numFmtId="0" fontId="0" fillId="0" borderId="0" xfId="0" applyAlignment="1">
      <alignment horizontal="center" vertical="top" wrapText="1"/>
    </xf>
    <xf numFmtId="0" fontId="0" fillId="0" borderId="22" xfId="0" applyBorder="1" applyAlignment="1">
      <alignment horizontal="center" vertical="top" wrapText="1"/>
    </xf>
    <xf numFmtId="0" fontId="0" fillId="0" borderId="28" xfId="0" applyBorder="1" applyAlignment="1">
      <alignment horizontal="center" vertical="top" wrapText="1"/>
    </xf>
    <xf numFmtId="0" fontId="37" fillId="0" borderId="0" xfId="1" quotePrefix="1" applyNumberFormat="1" applyAlignment="1">
      <alignment horizontal="center" vertical="top" wrapText="1"/>
    </xf>
    <xf numFmtId="0" fontId="0" fillId="0" borderId="29" xfId="0" applyBorder="1" applyAlignment="1">
      <alignment horizontal="center" vertical="top" wrapText="1"/>
    </xf>
    <xf numFmtId="0" fontId="0" fillId="0" borderId="25" xfId="0" applyBorder="1" applyAlignment="1">
      <alignment horizontal="center" vertical="top" wrapText="1"/>
    </xf>
    <xf numFmtId="0" fontId="0" fillId="0" borderId="30" xfId="0" applyBorder="1" applyAlignment="1">
      <alignment horizontal="center" vertical="top" wrapText="1"/>
    </xf>
    <xf numFmtId="0" fontId="37" fillId="0" borderId="25" xfId="1" quotePrefix="1" applyNumberFormat="1" applyBorder="1" applyAlignment="1">
      <alignment horizontal="center" vertical="top" wrapText="1"/>
    </xf>
    <xf numFmtId="0" fontId="0" fillId="0" borderId="27" xfId="0" applyBorder="1" applyAlignment="1">
      <alignment horizontal="center" vertical="top" wrapText="1"/>
    </xf>
    <xf numFmtId="0" fontId="0" fillId="0" borderId="31" xfId="0" applyBorder="1" applyAlignment="1">
      <alignment horizontal="center" vertical="top" wrapText="1"/>
    </xf>
    <xf numFmtId="0" fontId="23" fillId="0" borderId="0" xfId="2" applyFont="1"/>
    <xf numFmtId="0" fontId="1" fillId="0" borderId="0" xfId="2"/>
    <xf numFmtId="0" fontId="24" fillId="0" borderId="43" xfId="2" applyFont="1" applyBorder="1"/>
    <xf numFmtId="0" fontId="24" fillId="0" borderId="44" xfId="2" applyFont="1" applyBorder="1"/>
    <xf numFmtId="170" fontId="13" fillId="0" borderId="1" xfId="0" applyNumberFormat="1" applyFont="1" applyBorder="1" applyAlignment="1">
      <alignment horizontal="center"/>
    </xf>
    <xf numFmtId="0" fontId="24" fillId="0" borderId="43" xfId="2" applyFont="1" applyBorder="1" applyAlignment="1">
      <alignment horizontal="right"/>
    </xf>
    <xf numFmtId="167" fontId="24" fillId="0" borderId="6" xfId="4" applyNumberFormat="1" applyFont="1" applyFill="1" applyBorder="1" applyAlignment="1" applyProtection="1">
      <alignment horizontal="right"/>
      <protection locked="0"/>
    </xf>
    <xf numFmtId="0" fontId="26" fillId="0" borderId="0" xfId="2" applyFont="1"/>
    <xf numFmtId="0" fontId="24" fillId="0" borderId="0" xfId="2" applyFont="1"/>
    <xf numFmtId="171" fontId="27" fillId="0" borderId="0" xfId="2" applyNumberFormat="1" applyFont="1"/>
    <xf numFmtId="0" fontId="28" fillId="25" borderId="44" xfId="2" applyFont="1" applyFill="1" applyBorder="1" applyAlignment="1" applyProtection="1">
      <alignment horizontal="center"/>
      <protection locked="0"/>
    </xf>
    <xf numFmtId="0" fontId="29" fillId="0" borderId="43" xfId="0" applyFont="1" applyBorder="1" applyAlignment="1">
      <alignment horizontal="center" vertical="center" wrapText="1"/>
    </xf>
    <xf numFmtId="0" fontId="24" fillId="25" borderId="6" xfId="0" applyFont="1" applyFill="1" applyBorder="1" applyAlignment="1" applyProtection="1">
      <alignment horizontal="center"/>
      <protection locked="0"/>
    </xf>
    <xf numFmtId="0" fontId="28" fillId="0" borderId="44" xfId="2" applyFont="1" applyBorder="1"/>
    <xf numFmtId="0" fontId="28" fillId="0" borderId="6" xfId="2" applyFont="1" applyBorder="1"/>
    <xf numFmtId="0" fontId="28" fillId="0" borderId="0" xfId="2" applyFont="1"/>
    <xf numFmtId="0" fontId="30" fillId="0" borderId="0" xfId="0" applyFont="1"/>
    <xf numFmtId="0" fontId="27" fillId="5" borderId="38" xfId="2" applyFont="1" applyFill="1" applyBorder="1" applyAlignment="1">
      <alignment horizontal="center" vertical="center"/>
    </xf>
    <xf numFmtId="0" fontId="27" fillId="5" borderId="45" xfId="2" applyFont="1" applyFill="1" applyBorder="1" applyAlignment="1">
      <alignment horizontal="center" vertical="center"/>
    </xf>
    <xf numFmtId="0" fontId="27" fillId="5" borderId="42" xfId="2" applyFont="1" applyFill="1" applyBorder="1" applyAlignment="1">
      <alignment horizontal="center" vertical="center" wrapText="1"/>
    </xf>
    <xf numFmtId="166" fontId="27" fillId="5" borderId="42" xfId="5" applyNumberFormat="1" applyFont="1" applyFill="1" applyBorder="1" applyAlignment="1">
      <alignment horizontal="center" vertical="center"/>
    </xf>
    <xf numFmtId="0" fontId="31" fillId="5" borderId="46" xfId="2" applyFont="1" applyFill="1" applyBorder="1" applyAlignment="1">
      <alignment horizontal="center" vertical="center" wrapText="1"/>
    </xf>
    <xf numFmtId="0" fontId="27" fillId="5" borderId="46" xfId="2" applyFont="1" applyFill="1" applyBorder="1" applyAlignment="1">
      <alignment horizontal="center" vertical="center"/>
    </xf>
    <xf numFmtId="0" fontId="27" fillId="5" borderId="40" xfId="2" applyFont="1" applyFill="1" applyBorder="1" applyAlignment="1">
      <alignment horizontal="center" vertical="center" wrapText="1"/>
    </xf>
    <xf numFmtId="0" fontId="32" fillId="0" borderId="0" xfId="2" applyFont="1" applyAlignment="1">
      <alignment horizontal="center"/>
    </xf>
    <xf numFmtId="0" fontId="32" fillId="5" borderId="47" xfId="2" applyFont="1" applyFill="1" applyBorder="1" applyAlignment="1">
      <alignment horizontal="center" vertical="center"/>
    </xf>
    <xf numFmtId="0" fontId="32" fillId="5" borderId="48" xfId="2" applyFont="1" applyFill="1" applyBorder="1" applyAlignment="1">
      <alignment horizontal="center" vertical="center"/>
    </xf>
    <xf numFmtId="0" fontId="32" fillId="7" borderId="49" xfId="2" applyFont="1" applyFill="1" applyBorder="1" applyAlignment="1">
      <alignment horizontal="center" vertical="center" wrapText="1"/>
    </xf>
    <xf numFmtId="0" fontId="25" fillId="0" borderId="0" xfId="0" applyFont="1" applyAlignment="1">
      <alignment horizontal="center"/>
    </xf>
    <xf numFmtId="165" fontId="1" fillId="0" borderId="2" xfId="2" applyNumberFormat="1" applyBorder="1" applyAlignment="1" applyProtection="1">
      <alignment horizontal="center"/>
      <protection locked="0"/>
    </xf>
    <xf numFmtId="164" fontId="1" fillId="0" borderId="2" xfId="2" applyNumberFormat="1" applyBorder="1" applyAlignment="1">
      <alignment horizontal="center"/>
    </xf>
    <xf numFmtId="166" fontId="33" fillId="0" borderId="2" xfId="5" applyNumberFormat="1" applyFont="1" applyFill="1" applyBorder="1"/>
    <xf numFmtId="0" fontId="33" fillId="25" borderId="2" xfId="5" applyNumberFormat="1" applyFont="1" applyFill="1" applyBorder="1" applyAlignment="1" applyProtection="1">
      <alignment horizontal="center"/>
      <protection locked="0"/>
    </xf>
    <xf numFmtId="166" fontId="33" fillId="0" borderId="2" xfId="5" applyNumberFormat="1" applyFont="1" applyBorder="1" applyAlignment="1">
      <alignment horizontal="center"/>
    </xf>
    <xf numFmtId="1" fontId="33" fillId="25" borderId="2" xfId="2" applyNumberFormat="1" applyFont="1" applyFill="1" applyBorder="1" applyAlignment="1" applyProtection="1">
      <alignment horizontal="center"/>
      <protection locked="0"/>
    </xf>
    <xf numFmtId="0" fontId="33" fillId="0" borderId="2" xfId="2" applyFont="1" applyBorder="1" applyAlignment="1">
      <alignment horizontal="center"/>
    </xf>
    <xf numFmtId="3" fontId="33" fillId="0" borderId="2" xfId="2" applyNumberFormat="1" applyFont="1" applyBorder="1" applyAlignment="1">
      <alignment horizontal="center"/>
    </xf>
    <xf numFmtId="3" fontId="1" fillId="0" borderId="19" xfId="2" applyNumberFormat="1" applyBorder="1" applyAlignment="1">
      <alignment horizontal="center"/>
    </xf>
    <xf numFmtId="0" fontId="25" fillId="27" borderId="1" xfId="0" applyFont="1" applyFill="1" applyBorder="1" applyAlignment="1" applyProtection="1">
      <alignment horizontal="center"/>
      <protection locked="0"/>
    </xf>
    <xf numFmtId="167" fontId="33" fillId="3" borderId="2" xfId="4" applyNumberFormat="1" applyFont="1" applyFill="1" applyBorder="1" applyAlignment="1">
      <alignment horizontal="center"/>
    </xf>
    <xf numFmtId="167" fontId="33" fillId="3" borderId="12" xfId="4" applyNumberFormat="1" applyFont="1" applyFill="1" applyBorder="1" applyAlignment="1">
      <alignment horizontal="center"/>
    </xf>
    <xf numFmtId="167" fontId="0" fillId="0" borderId="0" xfId="0" applyNumberFormat="1"/>
    <xf numFmtId="165" fontId="1" fillId="0" borderId="1" xfId="2" applyNumberFormat="1" applyBorder="1" applyAlignment="1">
      <alignment horizontal="center"/>
    </xf>
    <xf numFmtId="3" fontId="33" fillId="0" borderId="1" xfId="2" applyNumberFormat="1" applyFont="1" applyBorder="1" applyAlignment="1">
      <alignment horizontal="center"/>
    </xf>
    <xf numFmtId="3" fontId="34" fillId="8" borderId="1" xfId="2" applyNumberFormat="1" applyFont="1" applyFill="1" applyBorder="1" applyAlignment="1">
      <alignment horizontal="center"/>
    </xf>
    <xf numFmtId="3" fontId="34" fillId="8" borderId="11" xfId="2" applyNumberFormat="1" applyFont="1" applyFill="1" applyBorder="1" applyAlignment="1">
      <alignment horizontal="center"/>
    </xf>
    <xf numFmtId="4" fontId="34" fillId="8" borderId="11" xfId="2" applyNumberFormat="1" applyFont="1" applyFill="1" applyBorder="1" applyAlignment="1">
      <alignment horizontal="center"/>
    </xf>
    <xf numFmtId="2" fontId="34" fillId="8" borderId="50" xfId="2" applyNumberFormat="1" applyFont="1" applyFill="1" applyBorder="1" applyAlignment="1">
      <alignment horizontal="center"/>
    </xf>
    <xf numFmtId="0" fontId="42" fillId="0" borderId="0" xfId="0" applyFont="1" applyAlignment="1" applyProtection="1">
      <alignment horizontal="center" vertical="center"/>
      <protection locked="0"/>
    </xf>
    <xf numFmtId="0" fontId="39" fillId="13" borderId="32" xfId="0" applyFont="1" applyFill="1" applyBorder="1" applyAlignment="1">
      <alignment horizontal="center" vertical="center"/>
    </xf>
    <xf numFmtId="0" fontId="39" fillId="13" borderId="33" xfId="0" applyFont="1" applyFill="1" applyBorder="1" applyAlignment="1">
      <alignment horizontal="center" vertical="center"/>
    </xf>
    <xf numFmtId="0" fontId="39" fillId="13" borderId="20" xfId="0" applyFont="1" applyFill="1" applyBorder="1" applyAlignment="1">
      <alignment horizontal="center" vertical="center"/>
    </xf>
    <xf numFmtId="0" fontId="51" fillId="0" borderId="32" xfId="0" applyFont="1" applyBorder="1" applyAlignment="1">
      <alignment horizontal="center" vertical="center"/>
    </xf>
    <xf numFmtId="0" fontId="51" fillId="0" borderId="33" xfId="0" applyFont="1" applyBorder="1" applyAlignment="1">
      <alignment horizontal="center" vertical="center"/>
    </xf>
    <xf numFmtId="0" fontId="51" fillId="0" borderId="20" xfId="0" applyFont="1" applyBorder="1" applyAlignment="1">
      <alignment horizontal="center" vertical="center"/>
    </xf>
    <xf numFmtId="0" fontId="39" fillId="11" borderId="32" xfId="0" applyFont="1" applyFill="1" applyBorder="1" applyAlignment="1">
      <alignment horizontal="center" vertical="center"/>
    </xf>
    <xf numFmtId="0" fontId="39" fillId="11" borderId="33" xfId="0" applyFont="1" applyFill="1" applyBorder="1" applyAlignment="1">
      <alignment horizontal="center" vertical="center"/>
    </xf>
    <xf numFmtId="0" fontId="39" fillId="11" borderId="20" xfId="0" applyFont="1" applyFill="1" applyBorder="1" applyAlignment="1">
      <alignment horizontal="center" vertical="center"/>
    </xf>
    <xf numFmtId="0" fontId="39" fillId="14" borderId="32" xfId="0" applyFont="1" applyFill="1" applyBorder="1" applyAlignment="1">
      <alignment horizontal="center" vertical="center"/>
    </xf>
    <xf numFmtId="0" fontId="39" fillId="14" borderId="33" xfId="0" applyFont="1" applyFill="1" applyBorder="1" applyAlignment="1">
      <alignment horizontal="center" vertical="center"/>
    </xf>
    <xf numFmtId="0" fontId="39" fillId="14" borderId="20" xfId="0" applyFont="1" applyFill="1" applyBorder="1" applyAlignment="1">
      <alignment horizontal="center" vertical="center"/>
    </xf>
    <xf numFmtId="0" fontId="39" fillId="15" borderId="32" xfId="0" applyFont="1" applyFill="1" applyBorder="1" applyAlignment="1">
      <alignment horizontal="center" vertical="center"/>
    </xf>
    <xf numFmtId="0" fontId="39" fillId="15" borderId="33" xfId="0" applyFont="1" applyFill="1" applyBorder="1" applyAlignment="1">
      <alignment horizontal="center" vertical="center"/>
    </xf>
    <xf numFmtId="0" fontId="39" fillId="15" borderId="20" xfId="0" applyFont="1" applyFill="1" applyBorder="1" applyAlignment="1">
      <alignment horizontal="center" vertical="center"/>
    </xf>
    <xf numFmtId="0" fontId="39" fillId="12" borderId="32" xfId="0" applyFont="1" applyFill="1" applyBorder="1" applyAlignment="1">
      <alignment horizontal="center" vertical="center"/>
    </xf>
    <xf numFmtId="0" fontId="39" fillId="12" borderId="33" xfId="0" applyFont="1" applyFill="1" applyBorder="1" applyAlignment="1">
      <alignment horizontal="center" vertical="center"/>
    </xf>
    <xf numFmtId="0" fontId="39" fillId="12" borderId="20" xfId="0" applyFont="1" applyFill="1" applyBorder="1" applyAlignment="1">
      <alignment horizontal="center" vertical="center"/>
    </xf>
    <xf numFmtId="0" fontId="51" fillId="0" borderId="14" xfId="0" applyFont="1" applyBorder="1" applyAlignment="1">
      <alignment horizontal="center" vertical="center"/>
    </xf>
    <xf numFmtId="0" fontId="51" fillId="0" borderId="34" xfId="0" applyFont="1" applyBorder="1" applyAlignment="1">
      <alignment horizontal="center" vertical="center"/>
    </xf>
    <xf numFmtId="0" fontId="40" fillId="0" borderId="0" xfId="0" applyFont="1" applyAlignment="1">
      <alignment horizontal="center" vertical="center"/>
    </xf>
    <xf numFmtId="0" fontId="39" fillId="19" borderId="13" xfId="0" applyFont="1" applyFill="1" applyBorder="1" applyAlignment="1">
      <alignment horizontal="center" vertical="center"/>
    </xf>
    <xf numFmtId="0" fontId="39" fillId="16" borderId="13" xfId="0" applyFont="1" applyFill="1" applyBorder="1" applyAlignment="1">
      <alignment horizontal="center" vertical="center"/>
    </xf>
    <xf numFmtId="0" fontId="52" fillId="14" borderId="14" xfId="0" applyFont="1" applyFill="1" applyBorder="1" applyAlignment="1" applyProtection="1">
      <alignment horizontal="center" vertical="center"/>
      <protection locked="0"/>
    </xf>
    <xf numFmtId="0" fontId="4" fillId="17" borderId="18" xfId="0" applyFont="1" applyFill="1" applyBorder="1" applyAlignment="1">
      <alignment horizontal="left"/>
    </xf>
    <xf numFmtId="0" fontId="45" fillId="0" borderId="1" xfId="0" applyFont="1" applyBorder="1" applyAlignment="1">
      <alignment horizontal="center" vertical="center"/>
    </xf>
    <xf numFmtId="0" fontId="17" fillId="6" borderId="0" xfId="0" applyFont="1" applyFill="1" applyAlignment="1">
      <alignment horizontal="center" vertical="center"/>
    </xf>
    <xf numFmtId="0" fontId="15" fillId="15" borderId="1" xfId="0" applyFont="1" applyFill="1" applyBorder="1" applyAlignment="1">
      <alignment horizontal="center" vertical="center"/>
    </xf>
    <xf numFmtId="0" fontId="53" fillId="24" borderId="1" xfId="0" applyFont="1" applyFill="1" applyBorder="1" applyAlignment="1">
      <alignment horizontal="center" vertical="center" wrapText="1"/>
    </xf>
    <xf numFmtId="0" fontId="53" fillId="12" borderId="1" xfId="0" applyFont="1" applyFill="1" applyBorder="1" applyAlignment="1">
      <alignment horizontal="center" vertical="center"/>
    </xf>
    <xf numFmtId="0" fontId="19" fillId="11" borderId="18" xfId="0" applyFont="1" applyFill="1" applyBorder="1" applyAlignment="1" applyProtection="1">
      <alignment horizontal="center" vertical="center"/>
      <protection locked="0"/>
    </xf>
    <xf numFmtId="0" fontId="22" fillId="8" borderId="0" xfId="2" applyFont="1" applyFill="1" applyAlignment="1">
      <alignment horizontal="left" vertical="center"/>
    </xf>
    <xf numFmtId="0" fontId="23" fillId="0" borderId="0" xfId="2" applyFont="1" applyAlignment="1">
      <alignment horizontal="center"/>
    </xf>
    <xf numFmtId="0" fontId="28" fillId="0" borderId="43" xfId="2" applyFont="1" applyBorder="1" applyAlignment="1">
      <alignment horizontal="right"/>
    </xf>
    <xf numFmtId="0" fontId="28" fillId="0" borderId="44" xfId="2" applyFont="1" applyBorder="1" applyAlignment="1">
      <alignment horizontal="right"/>
    </xf>
    <xf numFmtId="0" fontId="34" fillId="8" borderId="43" xfId="2" applyFont="1" applyFill="1" applyBorder="1" applyAlignment="1">
      <alignment horizontal="center"/>
    </xf>
    <xf numFmtId="0" fontId="34" fillId="8" borderId="6" xfId="2" applyFont="1" applyFill="1" applyBorder="1" applyAlignment="1">
      <alignment horizontal="center"/>
    </xf>
    <xf numFmtId="0" fontId="13" fillId="11" borderId="18" xfId="0" applyFont="1" applyFill="1" applyBorder="1" applyAlignment="1" applyProtection="1">
      <alignment horizontal="center"/>
      <protection locked="0"/>
    </xf>
    <xf numFmtId="0" fontId="0" fillId="9" borderId="35" xfId="0" applyFill="1" applyBorder="1" applyAlignment="1">
      <alignment horizontal="center"/>
    </xf>
    <xf numFmtId="0" fontId="0" fillId="9" borderId="36" xfId="0" applyFill="1" applyBorder="1" applyAlignment="1">
      <alignment horizontal="center"/>
    </xf>
    <xf numFmtId="0" fontId="0" fillId="10" borderId="37" xfId="0" applyFill="1" applyBorder="1" applyAlignment="1">
      <alignment horizontal="center" vertical="center"/>
    </xf>
    <xf numFmtId="0" fontId="0" fillId="10" borderId="38" xfId="0" applyFill="1" applyBorder="1" applyAlignment="1">
      <alignment horizontal="center" vertical="center"/>
    </xf>
    <xf numFmtId="0" fontId="0" fillId="10" borderId="39" xfId="0" applyFill="1" applyBorder="1" applyAlignment="1">
      <alignment horizontal="center" vertical="center"/>
    </xf>
    <xf numFmtId="0" fontId="0" fillId="10" borderId="40" xfId="0" applyFill="1" applyBorder="1" applyAlignment="1">
      <alignment horizontal="center" vertical="center"/>
    </xf>
    <xf numFmtId="0" fontId="0" fillId="10" borderId="41" xfId="0" applyFill="1" applyBorder="1" applyAlignment="1">
      <alignment horizontal="center" vertical="center"/>
    </xf>
    <xf numFmtId="0" fontId="0" fillId="10" borderId="42" xfId="0" applyFill="1" applyBorder="1" applyAlignment="1">
      <alignment horizontal="center" vertical="center"/>
    </xf>
  </cellXfs>
  <cellStyles count="6">
    <cellStyle name="Hyperlink" xfId="1" builtinId="8"/>
    <cellStyle name="Normal_New Labour Cost" xfId="2" xr:uid="{B6C2D337-5BE2-4A23-880A-269DDBF302FB}"/>
    <cellStyle name="Normal_Sheet1" xfId="3" xr:uid="{54548A8D-3247-425D-8763-BA77504996F6}"/>
    <cellStyle name="เปอร์เซ็นต์" xfId="4" builtinId="5"/>
    <cellStyle name="จุลภาค" xfId="5" builtinId="3"/>
    <cellStyle name="ปกติ" xfId="0" builtinId="0"/>
  </cellStyles>
  <dxfs count="6">
    <dxf>
      <font>
        <color rgb="FF9C0006"/>
      </font>
      <fill>
        <patternFill>
          <bgColor rgb="FFFFC7CE"/>
        </patternFill>
      </fill>
    </dxf>
    <dxf>
      <fill>
        <patternFill patternType="none">
          <fgColor indexed="64"/>
          <bgColor indexed="65"/>
        </patternFill>
      </fill>
    </dxf>
    <dxf>
      <font>
        <color indexed="10"/>
      </font>
    </dxf>
    <dxf>
      <font>
        <color rgb="FF9C0006"/>
      </font>
      <fill>
        <patternFill>
          <bgColor rgb="FFFFC7CE"/>
        </patternFill>
      </fill>
    </dxf>
    <dxf>
      <font>
        <color rgb="FF9C0006"/>
      </font>
    </dxf>
    <dxf>
      <font>
        <color rgb="FFFF000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8" Type="http://schemas.openxmlformats.org/officeDocument/2006/relationships/image" Target="../media/image11.jpeg"/><Relationship Id="rId3" Type="http://schemas.openxmlformats.org/officeDocument/2006/relationships/image" Target="../media/image6.png"/><Relationship Id="rId7" Type="http://schemas.openxmlformats.org/officeDocument/2006/relationships/image" Target="../media/image10.png"/><Relationship Id="rId2" Type="http://schemas.openxmlformats.org/officeDocument/2006/relationships/image" Target="../media/image5.png"/><Relationship Id="rId1" Type="http://schemas.openxmlformats.org/officeDocument/2006/relationships/image" Target="../media/image4.png"/><Relationship Id="rId6" Type="http://schemas.openxmlformats.org/officeDocument/2006/relationships/image" Target="../media/image9.jpeg"/><Relationship Id="rId5" Type="http://schemas.openxmlformats.org/officeDocument/2006/relationships/image" Target="../media/image8.png"/><Relationship Id="rId10" Type="http://schemas.openxmlformats.org/officeDocument/2006/relationships/image" Target="../media/image13.jpeg"/><Relationship Id="rId4" Type="http://schemas.openxmlformats.org/officeDocument/2006/relationships/image" Target="../media/image7.png"/><Relationship Id="rId9" Type="http://schemas.openxmlformats.org/officeDocument/2006/relationships/image" Target="../media/image12.jpeg"/></Relationships>
</file>

<file path=xl/drawings/drawing1.xml><?xml version="1.0" encoding="utf-8"?>
<xdr:wsDr xmlns:xdr="http://schemas.openxmlformats.org/drawingml/2006/spreadsheetDrawing" xmlns:a="http://schemas.openxmlformats.org/drawingml/2006/main">
  <xdr:twoCellAnchor editAs="oneCell">
    <xdr:from>
      <xdr:col>0</xdr:col>
      <xdr:colOff>2762250</xdr:colOff>
      <xdr:row>77</xdr:row>
      <xdr:rowOff>19050</xdr:rowOff>
    </xdr:from>
    <xdr:to>
      <xdr:col>0</xdr:col>
      <xdr:colOff>3105150</xdr:colOff>
      <xdr:row>77</xdr:row>
      <xdr:rowOff>209550</xdr:rowOff>
    </xdr:to>
    <xdr:pic>
      <xdr:nvPicPr>
        <xdr:cNvPr id="22071" name="Picture 1">
          <a:extLst>
            <a:ext uri="{FF2B5EF4-FFF2-40B4-BE49-F238E27FC236}">
              <a16:creationId xmlns:a16="http://schemas.microsoft.com/office/drawing/2014/main" id="{D3C40421-B6AD-4CF9-CC74-5AD2F9BD991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l="28989" t="3572" r="26563" b="3571"/>
        <a:stretch>
          <a:fillRect/>
        </a:stretch>
      </xdr:blipFill>
      <xdr:spPr bwMode="auto">
        <a:xfrm>
          <a:off x="2762250" y="15135225"/>
          <a:ext cx="34290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3981450</xdr:colOff>
      <xdr:row>78</xdr:row>
      <xdr:rowOff>19050</xdr:rowOff>
    </xdr:from>
    <xdr:to>
      <xdr:col>0</xdr:col>
      <xdr:colOff>4371975</xdr:colOff>
      <xdr:row>78</xdr:row>
      <xdr:rowOff>219075</xdr:rowOff>
    </xdr:to>
    <xdr:pic>
      <xdr:nvPicPr>
        <xdr:cNvPr id="22072" name="Picture 2">
          <a:extLst>
            <a:ext uri="{FF2B5EF4-FFF2-40B4-BE49-F238E27FC236}">
              <a16:creationId xmlns:a16="http://schemas.microsoft.com/office/drawing/2014/main" id="{A3FCD6C8-743A-53AE-153D-0C837A51AA5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l="30106" t="10201" r="34370" b="1398"/>
        <a:stretch>
          <a:fillRect/>
        </a:stretch>
      </xdr:blipFill>
      <xdr:spPr bwMode="auto">
        <a:xfrm>
          <a:off x="3981450" y="15363825"/>
          <a:ext cx="3905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99059</xdr:colOff>
      <xdr:row>0</xdr:row>
      <xdr:rowOff>0</xdr:rowOff>
    </xdr:from>
    <xdr:to>
      <xdr:col>12</xdr:col>
      <xdr:colOff>428439</xdr:colOff>
      <xdr:row>8</xdr:row>
      <xdr:rowOff>144780</xdr:rowOff>
    </xdr:to>
    <xdr:pic>
      <xdr:nvPicPr>
        <xdr:cNvPr id="2" name="Picture 1">
          <a:extLst>
            <a:ext uri="{FF2B5EF4-FFF2-40B4-BE49-F238E27FC236}">
              <a16:creationId xmlns:a16="http://schemas.microsoft.com/office/drawing/2014/main" id="{E2C0CCD7-1B46-8C08-77B6-EF4C2AACDF0D}"/>
            </a:ext>
          </a:extLst>
        </xdr:cNvPr>
        <xdr:cNvPicPr>
          <a:picLocks noChangeAspect="1"/>
        </xdr:cNvPicPr>
      </xdr:nvPicPr>
      <xdr:blipFill rotWithShape="1">
        <a:blip xmlns:r="http://schemas.openxmlformats.org/officeDocument/2006/relationships" r:embed="rId1"/>
        <a:srcRect l="1951" t="6324" r="1849" b="3831"/>
        <a:stretch/>
      </xdr:blipFill>
      <xdr:spPr>
        <a:xfrm>
          <a:off x="10828019" y="0"/>
          <a:ext cx="5815780" cy="3467100"/>
        </a:xfrm>
        <a:prstGeom prst="rect">
          <a:avLst/>
        </a:prstGeom>
        <a:solidFill>
          <a:srgbClr val="FFFFFF">
            <a:shade val="85000"/>
          </a:srgbClr>
        </a:solidFill>
        <a:ln w="88900" cap="sq">
          <a:solidFill>
            <a:srgbClr val="FFFFFF"/>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clientData/>
  </xdr:twoCellAnchor>
  <xdr:twoCellAnchor>
    <xdr:from>
      <xdr:col>7</xdr:col>
      <xdr:colOff>525780</xdr:colOff>
      <xdr:row>5</xdr:row>
      <xdr:rowOff>99060</xdr:rowOff>
    </xdr:from>
    <xdr:to>
      <xdr:col>8</xdr:col>
      <xdr:colOff>403860</xdr:colOff>
      <xdr:row>6</xdr:row>
      <xdr:rowOff>76200</xdr:rowOff>
    </xdr:to>
    <xdr:sp macro="" textlink="">
      <xdr:nvSpPr>
        <xdr:cNvPr id="3" name="Rectangle 2">
          <a:extLst>
            <a:ext uri="{FF2B5EF4-FFF2-40B4-BE49-F238E27FC236}">
              <a16:creationId xmlns:a16="http://schemas.microsoft.com/office/drawing/2014/main" id="{78632BFA-2684-5A35-6E8D-C3481B2F1561}"/>
            </a:ext>
          </a:extLst>
        </xdr:cNvPr>
        <xdr:cNvSpPr/>
      </xdr:nvSpPr>
      <xdr:spPr>
        <a:xfrm>
          <a:off x="13693140" y="2834640"/>
          <a:ext cx="487680" cy="198120"/>
        </a:xfrm>
        <a:prstGeom prst="rect">
          <a:avLst/>
        </a:prstGeom>
        <a:noFill/>
        <a:ln w="38100">
          <a:solidFill>
            <a:srgbClr val="FFFF00"/>
          </a:solidFill>
        </a:ln>
      </xdr:spPr>
      <xdr:style>
        <a:lnRef idx="2">
          <a:schemeClr val="accent4"/>
        </a:lnRef>
        <a:fillRef idx="1">
          <a:schemeClr val="lt1"/>
        </a:fillRef>
        <a:effectRef idx="0">
          <a:schemeClr val="accent4"/>
        </a:effectRef>
        <a:fontRef idx="minor">
          <a:schemeClr val="dk1"/>
        </a:fontRef>
      </xdr:style>
      <xdr:txBody>
        <a:bodyPr vertOverflow="clip" horzOverflow="clip" rtlCol="0" anchor="t"/>
        <a:lstStyle/>
        <a:p>
          <a:endParaRPr lang="en-US"/>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19</xdr:col>
      <xdr:colOff>66675</xdr:colOff>
      <xdr:row>1</xdr:row>
      <xdr:rowOff>257175</xdr:rowOff>
    </xdr:from>
    <xdr:to>
      <xdr:col>19</xdr:col>
      <xdr:colOff>981075</xdr:colOff>
      <xdr:row>1</xdr:row>
      <xdr:rowOff>447675</xdr:rowOff>
    </xdr:to>
    <xdr:pic>
      <xdr:nvPicPr>
        <xdr:cNvPr id="27690" name="Picture 8">
          <a:extLst>
            <a:ext uri="{FF2B5EF4-FFF2-40B4-BE49-F238E27FC236}">
              <a16:creationId xmlns:a16="http://schemas.microsoft.com/office/drawing/2014/main" id="{9E2B553C-C12E-A4C8-7B48-9AA445BD250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030950" y="457200"/>
          <a:ext cx="91440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21</xdr:col>
      <xdr:colOff>57150</xdr:colOff>
      <xdr:row>1</xdr:row>
      <xdr:rowOff>209550</xdr:rowOff>
    </xdr:from>
    <xdr:to>
      <xdr:col>21</xdr:col>
      <xdr:colOff>971550</xdr:colOff>
      <xdr:row>1</xdr:row>
      <xdr:rowOff>523875</xdr:rowOff>
    </xdr:to>
    <xdr:pic>
      <xdr:nvPicPr>
        <xdr:cNvPr id="27691" name="Picture 9">
          <a:extLst>
            <a:ext uri="{FF2B5EF4-FFF2-40B4-BE49-F238E27FC236}">
              <a16:creationId xmlns:a16="http://schemas.microsoft.com/office/drawing/2014/main" id="{7CB42836-144A-AF49-0627-D6296D47D8D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1097875" y="409575"/>
          <a:ext cx="91440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17</xdr:col>
      <xdr:colOff>57150</xdr:colOff>
      <xdr:row>1</xdr:row>
      <xdr:rowOff>276225</xdr:rowOff>
    </xdr:from>
    <xdr:to>
      <xdr:col>17</xdr:col>
      <xdr:colOff>971550</xdr:colOff>
      <xdr:row>1</xdr:row>
      <xdr:rowOff>466725</xdr:rowOff>
    </xdr:to>
    <xdr:pic>
      <xdr:nvPicPr>
        <xdr:cNvPr id="27692" name="Picture 10">
          <a:extLst>
            <a:ext uri="{FF2B5EF4-FFF2-40B4-BE49-F238E27FC236}">
              <a16:creationId xmlns:a16="http://schemas.microsoft.com/office/drawing/2014/main" id="{EF292C40-88DB-07D8-DFBD-8DD6B99A2C4C}"/>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6944975" y="476250"/>
          <a:ext cx="91440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15</xdr:col>
      <xdr:colOff>57150</xdr:colOff>
      <xdr:row>1</xdr:row>
      <xdr:rowOff>95250</xdr:rowOff>
    </xdr:from>
    <xdr:to>
      <xdr:col>15</xdr:col>
      <xdr:colOff>971550</xdr:colOff>
      <xdr:row>1</xdr:row>
      <xdr:rowOff>609600</xdr:rowOff>
    </xdr:to>
    <xdr:pic>
      <xdr:nvPicPr>
        <xdr:cNvPr id="27693" name="Picture 11">
          <a:extLst>
            <a:ext uri="{FF2B5EF4-FFF2-40B4-BE49-F238E27FC236}">
              <a16:creationId xmlns:a16="http://schemas.microsoft.com/office/drawing/2014/main" id="{D9AEE584-29CE-D26E-E35F-A5559E043652}"/>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14868525" y="295275"/>
          <a:ext cx="914400" cy="514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23</xdr:col>
      <xdr:colOff>85725</xdr:colOff>
      <xdr:row>1</xdr:row>
      <xdr:rowOff>76200</xdr:rowOff>
    </xdr:from>
    <xdr:to>
      <xdr:col>23</xdr:col>
      <xdr:colOff>1000125</xdr:colOff>
      <xdr:row>1</xdr:row>
      <xdr:rowOff>638175</xdr:rowOff>
    </xdr:to>
    <xdr:pic>
      <xdr:nvPicPr>
        <xdr:cNvPr id="27694" name="Picture 12">
          <a:extLst>
            <a:ext uri="{FF2B5EF4-FFF2-40B4-BE49-F238E27FC236}">
              <a16:creationId xmlns:a16="http://schemas.microsoft.com/office/drawing/2014/main" id="{FB7EE0C3-DDA9-EFD3-90FF-F39172412C75}"/>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23202900" y="276225"/>
          <a:ext cx="914400" cy="561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180975</xdr:colOff>
      <xdr:row>1</xdr:row>
      <xdr:rowOff>57151</xdr:rowOff>
    </xdr:from>
    <xdr:to>
      <xdr:col>11</xdr:col>
      <xdr:colOff>821055</xdr:colOff>
      <xdr:row>1</xdr:row>
      <xdr:rowOff>699468</xdr:rowOff>
    </xdr:to>
    <xdr:pic>
      <xdr:nvPicPr>
        <xdr:cNvPr id="16" name="Picture 15">
          <a:extLst>
            <a:ext uri="{FF2B5EF4-FFF2-40B4-BE49-F238E27FC236}">
              <a16:creationId xmlns:a16="http://schemas.microsoft.com/office/drawing/2014/main" id="{9474C38E-2728-64BE-7AFF-F8D81CC1E13C}"/>
            </a:ext>
          </a:extLst>
        </xdr:cNvPr>
        <xdr:cNvPicPr>
          <a:picLocks noChangeAspect="1"/>
        </xdr:cNvPicPr>
      </xdr:nvPicPr>
      <xdr:blipFill rotWithShape="1">
        <a:blip xmlns:r="http://schemas.openxmlformats.org/officeDocument/2006/relationships" r:embed="rId6" cstate="print"/>
        <a:srcRect l="36545" t="25823" r="36651" b="26364"/>
        <a:stretch/>
      </xdr:blipFill>
      <xdr:spPr>
        <a:xfrm>
          <a:off x="10925175" y="247651"/>
          <a:ext cx="640080" cy="642317"/>
        </a:xfrm>
        <a:prstGeom prst="roundRect">
          <a:avLst>
            <a:gd name="adj" fmla="val 26108"/>
          </a:avLst>
        </a:prstGeom>
      </xdr:spPr>
    </xdr:pic>
    <xdr:clientData/>
  </xdr:twoCellAnchor>
  <xdr:twoCellAnchor editAs="oneCell">
    <xdr:from>
      <xdr:col>13</xdr:col>
      <xdr:colOff>200025</xdr:colOff>
      <xdr:row>1</xdr:row>
      <xdr:rowOff>57150</xdr:rowOff>
    </xdr:from>
    <xdr:to>
      <xdr:col>13</xdr:col>
      <xdr:colOff>838200</xdr:colOff>
      <xdr:row>1</xdr:row>
      <xdr:rowOff>695325</xdr:rowOff>
    </xdr:to>
    <xdr:pic>
      <xdr:nvPicPr>
        <xdr:cNvPr id="27696" name="Picture 3">
          <a:extLst>
            <a:ext uri="{FF2B5EF4-FFF2-40B4-BE49-F238E27FC236}">
              <a16:creationId xmlns:a16="http://schemas.microsoft.com/office/drawing/2014/main" id="{EE5D929A-156C-7103-FF7A-0B75318867CF}"/>
            </a:ext>
          </a:extLst>
        </xdr:cNvPr>
        <xdr:cNvPicPr>
          <a:picLocks noChangeAspect="1" noChangeArrowheads="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a:off x="12934950" y="257175"/>
          <a:ext cx="638175" cy="638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190500</xdr:colOff>
      <xdr:row>1</xdr:row>
      <xdr:rowOff>47625</xdr:rowOff>
    </xdr:from>
    <xdr:to>
      <xdr:col>5</xdr:col>
      <xdr:colOff>742950</xdr:colOff>
      <xdr:row>1</xdr:row>
      <xdr:rowOff>609600</xdr:rowOff>
    </xdr:to>
    <xdr:pic>
      <xdr:nvPicPr>
        <xdr:cNvPr id="27697" name="Picture 7">
          <a:extLst>
            <a:ext uri="{FF2B5EF4-FFF2-40B4-BE49-F238E27FC236}">
              <a16:creationId xmlns:a16="http://schemas.microsoft.com/office/drawing/2014/main" id="{52C6FC1C-8269-A023-DA0E-53BDCFE9E431}"/>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4619625" y="247650"/>
          <a:ext cx="552450" cy="561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247650</xdr:colOff>
      <xdr:row>1</xdr:row>
      <xdr:rowOff>66675</xdr:rowOff>
    </xdr:from>
    <xdr:to>
      <xdr:col>3</xdr:col>
      <xdr:colOff>800100</xdr:colOff>
      <xdr:row>1</xdr:row>
      <xdr:rowOff>628650</xdr:rowOff>
    </xdr:to>
    <xdr:pic>
      <xdr:nvPicPr>
        <xdr:cNvPr id="27698" name="Picture 18">
          <a:extLst>
            <a:ext uri="{FF2B5EF4-FFF2-40B4-BE49-F238E27FC236}">
              <a16:creationId xmlns:a16="http://schemas.microsoft.com/office/drawing/2014/main" id="{539C8C3A-E9A2-8DD3-5A24-7D0E1CBFBB31}"/>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2600325" y="266700"/>
          <a:ext cx="552450" cy="561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7</xdr:col>
      <xdr:colOff>57150</xdr:colOff>
      <xdr:row>1</xdr:row>
      <xdr:rowOff>152400</xdr:rowOff>
    </xdr:from>
    <xdr:to>
      <xdr:col>7</xdr:col>
      <xdr:colOff>1019175</xdr:colOff>
      <xdr:row>1</xdr:row>
      <xdr:rowOff>581025</xdr:rowOff>
    </xdr:to>
    <xdr:pic>
      <xdr:nvPicPr>
        <xdr:cNvPr id="27699" name="Picture 19">
          <a:extLst>
            <a:ext uri="{FF2B5EF4-FFF2-40B4-BE49-F238E27FC236}">
              <a16:creationId xmlns:a16="http://schemas.microsoft.com/office/drawing/2014/main" id="{499D01B1-5CFB-372B-9DAC-9BF2EAD6EBB9}"/>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6562725" y="352425"/>
          <a:ext cx="962025" cy="428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85725</xdr:colOff>
      <xdr:row>1</xdr:row>
      <xdr:rowOff>114300</xdr:rowOff>
    </xdr:from>
    <xdr:to>
      <xdr:col>9</xdr:col>
      <xdr:colOff>1000125</xdr:colOff>
      <xdr:row>1</xdr:row>
      <xdr:rowOff>590550</xdr:rowOff>
    </xdr:to>
    <xdr:pic>
      <xdr:nvPicPr>
        <xdr:cNvPr id="27700" name="Picture 22">
          <a:extLst>
            <a:ext uri="{FF2B5EF4-FFF2-40B4-BE49-F238E27FC236}">
              <a16:creationId xmlns:a16="http://schemas.microsoft.com/office/drawing/2014/main" id="{7DE0B1EF-6302-9055-E412-4C168FEB23D5}"/>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8667750" y="314325"/>
          <a:ext cx="914400" cy="476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C6F771-FCFD-4EC9-B9C9-907B3AD0C9B5}">
  <sheetPr>
    <tabColor rgb="FFFFFF00"/>
  </sheetPr>
  <dimension ref="A1:D97"/>
  <sheetViews>
    <sheetView topLeftCell="A39" workbookViewId="0">
      <selection activeCell="C53" sqref="C53"/>
    </sheetView>
  </sheetViews>
  <sheetFormatPr defaultRowHeight="15" x14ac:dyDescent="0.25"/>
  <cols>
    <col min="1" max="1" width="65.5703125" customWidth="1"/>
    <col min="2" max="2" width="3.5703125" customWidth="1"/>
    <col min="3" max="3" width="74.5703125" customWidth="1"/>
  </cols>
  <sheetData>
    <row r="1" spans="1:3" ht="18" x14ac:dyDescent="0.25">
      <c r="A1" s="273" t="s">
        <v>46</v>
      </c>
      <c r="B1" s="273"/>
      <c r="C1" s="273"/>
    </row>
    <row r="2" spans="1:3" x14ac:dyDescent="0.25">
      <c r="A2" s="84" t="s">
        <v>47</v>
      </c>
      <c r="B2" s="75" t="s">
        <v>37</v>
      </c>
      <c r="C2" s="75" t="s">
        <v>48</v>
      </c>
    </row>
    <row r="3" spans="1:3" x14ac:dyDescent="0.25">
      <c r="A3" s="85" t="s">
        <v>150</v>
      </c>
      <c r="B3" s="75" t="s">
        <v>37</v>
      </c>
      <c r="C3" s="75" t="s">
        <v>50</v>
      </c>
    </row>
    <row r="4" spans="1:3" x14ac:dyDescent="0.25">
      <c r="A4" s="81" t="s">
        <v>151</v>
      </c>
      <c r="B4" s="75" t="s">
        <v>37</v>
      </c>
      <c r="C4" s="75" t="s">
        <v>43</v>
      </c>
    </row>
    <row r="5" spans="1:3" x14ac:dyDescent="0.25">
      <c r="A5" s="77" t="s">
        <v>152</v>
      </c>
      <c r="B5" s="75" t="s">
        <v>37</v>
      </c>
      <c r="C5" s="75" t="s">
        <v>44</v>
      </c>
    </row>
    <row r="6" spans="1:3" x14ac:dyDescent="0.25">
      <c r="A6" s="73" t="s">
        <v>153</v>
      </c>
      <c r="B6" s="75" t="s">
        <v>37</v>
      </c>
      <c r="C6" s="75" t="s">
        <v>98</v>
      </c>
    </row>
    <row r="7" spans="1:3" x14ac:dyDescent="0.25">
      <c r="A7" s="68" t="s">
        <v>154</v>
      </c>
      <c r="B7" s="75" t="s">
        <v>37</v>
      </c>
      <c r="C7" s="75" t="s">
        <v>45</v>
      </c>
    </row>
    <row r="8" spans="1:3" x14ac:dyDescent="0.25">
      <c r="A8" s="86" t="s">
        <v>47</v>
      </c>
      <c r="B8" s="75" t="s">
        <v>37</v>
      </c>
      <c r="C8" s="75" t="s">
        <v>53</v>
      </c>
    </row>
    <row r="9" spans="1:3" x14ac:dyDescent="0.25">
      <c r="A9" s="119" t="s">
        <v>150</v>
      </c>
      <c r="B9" s="75" t="s">
        <v>37</v>
      </c>
      <c r="C9" s="75" t="s">
        <v>51</v>
      </c>
    </row>
    <row r="10" spans="1:3" x14ac:dyDescent="0.25">
      <c r="A10" s="87" t="s">
        <v>52</v>
      </c>
      <c r="B10" s="75" t="s">
        <v>37</v>
      </c>
      <c r="C10" s="75" t="s">
        <v>155</v>
      </c>
    </row>
    <row r="11" spans="1:3" x14ac:dyDescent="0.25">
      <c r="A11" s="63"/>
      <c r="B11" s="62"/>
      <c r="C11" s="62"/>
    </row>
    <row r="12" spans="1:3" ht="18" x14ac:dyDescent="0.25">
      <c r="A12" s="64" t="s">
        <v>69</v>
      </c>
      <c r="B12" s="120"/>
      <c r="C12" s="120"/>
    </row>
    <row r="13" spans="1:3" x14ac:dyDescent="0.25">
      <c r="A13" s="80" t="s">
        <v>234</v>
      </c>
      <c r="B13" s="67" t="s">
        <v>37</v>
      </c>
      <c r="C13" s="81" t="s">
        <v>54</v>
      </c>
    </row>
    <row r="14" spans="1:3" x14ac:dyDescent="0.25">
      <c r="A14" s="82" t="s">
        <v>235</v>
      </c>
      <c r="B14" s="67" t="s">
        <v>37</v>
      </c>
      <c r="C14" s="81" t="s">
        <v>55</v>
      </c>
    </row>
    <row r="15" spans="1:3" x14ac:dyDescent="0.25">
      <c r="A15" s="83" t="s">
        <v>236</v>
      </c>
      <c r="B15" s="67" t="s">
        <v>37</v>
      </c>
      <c r="C15" s="83" t="s">
        <v>56</v>
      </c>
    </row>
    <row r="16" spans="1:3" x14ac:dyDescent="0.25">
      <c r="A16" s="83" t="s">
        <v>237</v>
      </c>
      <c r="B16" s="67" t="s">
        <v>37</v>
      </c>
      <c r="C16" s="83" t="s">
        <v>57</v>
      </c>
    </row>
    <row r="17" spans="1:4" x14ac:dyDescent="0.25">
      <c r="A17" s="83" t="s">
        <v>169</v>
      </c>
      <c r="B17" s="67" t="s">
        <v>37</v>
      </c>
      <c r="C17" s="83" t="s">
        <v>58</v>
      </c>
    </row>
    <row r="18" spans="1:4" x14ac:dyDescent="0.25">
      <c r="A18" s="83" t="s">
        <v>86</v>
      </c>
      <c r="B18" s="67" t="s">
        <v>37</v>
      </c>
      <c r="C18" s="83" t="s">
        <v>79</v>
      </c>
    </row>
    <row r="19" spans="1:4" x14ac:dyDescent="0.25">
      <c r="A19" s="81" t="s">
        <v>87</v>
      </c>
      <c r="B19" s="67" t="s">
        <v>37</v>
      </c>
      <c r="C19" s="83" t="s">
        <v>80</v>
      </c>
    </row>
    <row r="20" spans="1:4" x14ac:dyDescent="0.25">
      <c r="A20" s="82" t="s">
        <v>60</v>
      </c>
      <c r="B20" s="67" t="s">
        <v>37</v>
      </c>
      <c r="C20" s="81" t="s">
        <v>83</v>
      </c>
    </row>
    <row r="21" spans="1:4" x14ac:dyDescent="0.25">
      <c r="A21" s="81" t="s">
        <v>88</v>
      </c>
      <c r="B21" s="67" t="s">
        <v>37</v>
      </c>
      <c r="C21" s="81" t="s">
        <v>64</v>
      </c>
    </row>
    <row r="22" spans="1:4" x14ac:dyDescent="0.25">
      <c r="A22" s="81" t="s">
        <v>211</v>
      </c>
      <c r="B22" s="67" t="s">
        <v>37</v>
      </c>
      <c r="C22" s="81" t="s">
        <v>216</v>
      </c>
    </row>
    <row r="23" spans="1:4" x14ac:dyDescent="0.25">
      <c r="A23" s="81" t="s">
        <v>212</v>
      </c>
      <c r="B23" s="67" t="s">
        <v>37</v>
      </c>
      <c r="C23" s="81" t="s">
        <v>217</v>
      </c>
    </row>
    <row r="24" spans="1:4" x14ac:dyDescent="0.25">
      <c r="A24" s="81" t="s">
        <v>5</v>
      </c>
      <c r="B24" s="67" t="s">
        <v>37</v>
      </c>
      <c r="C24" s="83" t="s">
        <v>89</v>
      </c>
    </row>
    <row r="25" spans="1:4" x14ac:dyDescent="0.25">
      <c r="A25" s="82" t="s">
        <v>62</v>
      </c>
      <c r="B25" s="67" t="s">
        <v>37</v>
      </c>
      <c r="C25" s="81" t="s">
        <v>65</v>
      </c>
    </row>
    <row r="26" spans="1:4" x14ac:dyDescent="0.25">
      <c r="A26" s="81" t="s">
        <v>6</v>
      </c>
      <c r="B26" s="67" t="s">
        <v>37</v>
      </c>
      <c r="C26" s="81" t="s">
        <v>66</v>
      </c>
    </row>
    <row r="27" spans="1:4" x14ac:dyDescent="0.25">
      <c r="A27" s="130" t="s">
        <v>39</v>
      </c>
      <c r="B27" s="67" t="s">
        <v>37</v>
      </c>
      <c r="C27" s="83" t="s">
        <v>67</v>
      </c>
    </row>
    <row r="28" spans="1:4" x14ac:dyDescent="0.25">
      <c r="A28" s="132" t="s">
        <v>157</v>
      </c>
      <c r="B28" s="131" t="s">
        <v>37</v>
      </c>
      <c r="C28" s="83" t="s">
        <v>159</v>
      </c>
    </row>
    <row r="29" spans="1:4" x14ac:dyDescent="0.25">
      <c r="A29" s="132" t="s">
        <v>158</v>
      </c>
      <c r="B29" s="131" t="s">
        <v>37</v>
      </c>
      <c r="C29" s="129" t="s">
        <v>160</v>
      </c>
      <c r="D29" s="133"/>
    </row>
    <row r="30" spans="1:4" x14ac:dyDescent="0.25">
      <c r="A30" s="62"/>
      <c r="B30" s="91"/>
      <c r="C30" s="90"/>
    </row>
    <row r="31" spans="1:4" ht="18" x14ac:dyDescent="0.25">
      <c r="A31" s="92" t="s">
        <v>68</v>
      </c>
      <c r="B31" s="121"/>
      <c r="C31" s="122"/>
    </row>
    <row r="32" spans="1:4" x14ac:dyDescent="0.25">
      <c r="A32" s="76" t="s">
        <v>245</v>
      </c>
      <c r="B32" s="67" t="s">
        <v>37</v>
      </c>
      <c r="C32" s="77" t="s">
        <v>75</v>
      </c>
    </row>
    <row r="33" spans="1:3" x14ac:dyDescent="0.25">
      <c r="A33" s="78" t="s">
        <v>246</v>
      </c>
      <c r="B33" s="67" t="s">
        <v>37</v>
      </c>
      <c r="C33" s="77" t="s">
        <v>76</v>
      </c>
    </row>
    <row r="34" spans="1:3" x14ac:dyDescent="0.25">
      <c r="A34" s="79" t="s">
        <v>247</v>
      </c>
      <c r="B34" s="67" t="s">
        <v>37</v>
      </c>
      <c r="C34" s="79" t="s">
        <v>77</v>
      </c>
    </row>
    <row r="35" spans="1:3" x14ac:dyDescent="0.25">
      <c r="A35" s="79" t="s">
        <v>248</v>
      </c>
      <c r="B35" s="67" t="s">
        <v>37</v>
      </c>
      <c r="C35" s="79" t="s">
        <v>78</v>
      </c>
    </row>
    <row r="36" spans="1:3" x14ac:dyDescent="0.25">
      <c r="A36" s="89" t="s">
        <v>249</v>
      </c>
      <c r="B36" s="67" t="s">
        <v>37</v>
      </c>
      <c r="C36" s="79" t="s">
        <v>81</v>
      </c>
    </row>
    <row r="37" spans="1:3" x14ac:dyDescent="0.25">
      <c r="A37" s="88" t="s">
        <v>250</v>
      </c>
      <c r="B37" s="67" t="s">
        <v>37</v>
      </c>
      <c r="C37" s="79" t="s">
        <v>82</v>
      </c>
    </row>
    <row r="38" spans="1:3" x14ac:dyDescent="0.25">
      <c r="A38" s="78" t="s">
        <v>60</v>
      </c>
      <c r="B38" s="67" t="s">
        <v>37</v>
      </c>
      <c r="C38" s="77" t="s">
        <v>84</v>
      </c>
    </row>
    <row r="39" spans="1:3" x14ac:dyDescent="0.25">
      <c r="A39" s="78" t="s">
        <v>71</v>
      </c>
      <c r="B39" s="67" t="s">
        <v>37</v>
      </c>
      <c r="C39" s="77" t="s">
        <v>90</v>
      </c>
    </row>
    <row r="40" spans="1:3" x14ac:dyDescent="0.25">
      <c r="A40" s="77" t="s">
        <v>7</v>
      </c>
      <c r="B40" s="67" t="s">
        <v>37</v>
      </c>
      <c r="C40" s="79" t="s">
        <v>91</v>
      </c>
    </row>
    <row r="41" spans="1:3" x14ac:dyDescent="0.25">
      <c r="A41" s="91"/>
      <c r="B41" s="91"/>
      <c r="C41" s="90"/>
    </row>
    <row r="42" spans="1:3" ht="18" x14ac:dyDescent="0.25">
      <c r="A42" s="92" t="s">
        <v>97</v>
      </c>
      <c r="B42" s="123"/>
      <c r="C42" s="124"/>
    </row>
    <row r="43" spans="1:3" x14ac:dyDescent="0.25">
      <c r="A43" s="73" t="s">
        <v>92</v>
      </c>
      <c r="B43" s="67" t="s">
        <v>37</v>
      </c>
      <c r="C43" s="73" t="s">
        <v>94</v>
      </c>
    </row>
    <row r="44" spans="1:3" x14ac:dyDescent="0.25">
      <c r="A44" s="74" t="s">
        <v>8</v>
      </c>
      <c r="B44" s="67" t="s">
        <v>37</v>
      </c>
      <c r="C44" s="73" t="s">
        <v>95</v>
      </c>
    </row>
    <row r="45" spans="1:3" x14ac:dyDescent="0.25">
      <c r="A45" s="74" t="s">
        <v>9</v>
      </c>
      <c r="B45" s="67" t="s">
        <v>37</v>
      </c>
      <c r="C45" s="73" t="s">
        <v>96</v>
      </c>
    </row>
    <row r="46" spans="1:3" x14ac:dyDescent="0.25">
      <c r="A46" s="74" t="s">
        <v>93</v>
      </c>
      <c r="B46" s="67" t="s">
        <v>37</v>
      </c>
      <c r="C46" s="73" t="s">
        <v>99</v>
      </c>
    </row>
    <row r="47" spans="1:3" x14ac:dyDescent="0.25">
      <c r="A47" s="93"/>
      <c r="B47" s="93"/>
      <c r="C47" s="93"/>
    </row>
    <row r="48" spans="1:3" ht="18" x14ac:dyDescent="0.25">
      <c r="A48" s="92" t="s">
        <v>107</v>
      </c>
      <c r="B48" s="125"/>
      <c r="C48" s="126"/>
    </row>
    <row r="49" spans="1:3" x14ac:dyDescent="0.25">
      <c r="A49" s="66" t="s">
        <v>218</v>
      </c>
      <c r="B49" s="67" t="s">
        <v>37</v>
      </c>
      <c r="C49" s="68" t="s">
        <v>111</v>
      </c>
    </row>
    <row r="50" spans="1:3" x14ac:dyDescent="0.25">
      <c r="A50" s="66" t="s">
        <v>101</v>
      </c>
      <c r="B50" s="67" t="s">
        <v>37</v>
      </c>
      <c r="C50" s="68" t="s">
        <v>112</v>
      </c>
    </row>
    <row r="51" spans="1:3" x14ac:dyDescent="0.25">
      <c r="A51" s="66" t="s">
        <v>257</v>
      </c>
      <c r="B51" s="67" t="s">
        <v>37</v>
      </c>
      <c r="C51" s="68" t="s">
        <v>113</v>
      </c>
    </row>
    <row r="52" spans="1:3" x14ac:dyDescent="0.25">
      <c r="A52" s="66" t="s">
        <v>104</v>
      </c>
      <c r="B52" s="67" t="s">
        <v>37</v>
      </c>
      <c r="C52" s="68" t="s">
        <v>117</v>
      </c>
    </row>
    <row r="53" spans="1:3" x14ac:dyDescent="0.25">
      <c r="A53" s="66" t="s">
        <v>258</v>
      </c>
      <c r="B53" s="67" t="s">
        <v>37</v>
      </c>
      <c r="C53" s="68" t="s">
        <v>114</v>
      </c>
    </row>
    <row r="54" spans="1:3" x14ac:dyDescent="0.25">
      <c r="A54" s="66" t="s">
        <v>259</v>
      </c>
      <c r="B54" s="67" t="s">
        <v>37</v>
      </c>
      <c r="C54" s="68" t="s">
        <v>115</v>
      </c>
    </row>
    <row r="55" spans="1:3" x14ac:dyDescent="0.25">
      <c r="A55" s="66" t="s">
        <v>251</v>
      </c>
      <c r="B55" s="67" t="s">
        <v>37</v>
      </c>
      <c r="C55" s="68" t="s">
        <v>116</v>
      </c>
    </row>
    <row r="56" spans="1:3" x14ac:dyDescent="0.25">
      <c r="A56" s="66" t="s">
        <v>260</v>
      </c>
      <c r="B56" s="67" t="s">
        <v>37</v>
      </c>
      <c r="C56" s="68" t="s">
        <v>113</v>
      </c>
    </row>
    <row r="57" spans="1:3" ht="27.6" customHeight="1" x14ac:dyDescent="0.25">
      <c r="A57" s="72" t="s">
        <v>261</v>
      </c>
      <c r="B57" s="69" t="s">
        <v>37</v>
      </c>
      <c r="C57" s="70" t="s">
        <v>118</v>
      </c>
    </row>
    <row r="58" spans="1:3" x14ac:dyDescent="0.25">
      <c r="A58" s="66" t="s">
        <v>105</v>
      </c>
      <c r="B58" s="67" t="s">
        <v>37</v>
      </c>
      <c r="C58" s="68" t="s">
        <v>119</v>
      </c>
    </row>
    <row r="59" spans="1:3" x14ac:dyDescent="0.25">
      <c r="A59" s="66" t="s">
        <v>11</v>
      </c>
      <c r="B59" s="67" t="s">
        <v>37</v>
      </c>
      <c r="C59" s="68" t="s">
        <v>120</v>
      </c>
    </row>
    <row r="60" spans="1:3" x14ac:dyDescent="0.25">
      <c r="A60" s="66" t="s">
        <v>109</v>
      </c>
      <c r="B60" s="67" t="s">
        <v>37</v>
      </c>
      <c r="C60" s="68" t="s">
        <v>121</v>
      </c>
    </row>
    <row r="61" spans="1:3" x14ac:dyDescent="0.25">
      <c r="A61" s="66" t="s">
        <v>106</v>
      </c>
      <c r="B61" s="67" t="s">
        <v>37</v>
      </c>
      <c r="C61" s="71" t="s">
        <v>122</v>
      </c>
    </row>
    <row r="63" spans="1:3" ht="18" x14ac:dyDescent="0.25">
      <c r="A63" s="64" t="s">
        <v>140</v>
      </c>
      <c r="B63" s="127"/>
      <c r="C63" s="127"/>
    </row>
    <row r="64" spans="1:3" x14ac:dyDescent="0.25">
      <c r="A64" s="94" t="s">
        <v>19</v>
      </c>
      <c r="B64" s="67" t="s">
        <v>37</v>
      </c>
      <c r="C64" s="96" t="s">
        <v>131</v>
      </c>
    </row>
    <row r="65" spans="1:3" x14ac:dyDescent="0.25">
      <c r="A65" s="94" t="s">
        <v>197</v>
      </c>
      <c r="B65" s="67" t="s">
        <v>37</v>
      </c>
      <c r="C65" s="96" t="s">
        <v>132</v>
      </c>
    </row>
    <row r="66" spans="1:3" x14ac:dyDescent="0.25">
      <c r="A66" s="94" t="s">
        <v>123</v>
      </c>
      <c r="B66" s="67" t="s">
        <v>37</v>
      </c>
      <c r="C66" s="96" t="s">
        <v>133</v>
      </c>
    </row>
    <row r="67" spans="1:3" x14ac:dyDescent="0.25">
      <c r="A67" s="94" t="s">
        <v>40</v>
      </c>
      <c r="B67" s="67" t="s">
        <v>37</v>
      </c>
      <c r="C67" s="96" t="s">
        <v>134</v>
      </c>
    </row>
    <row r="68" spans="1:3" x14ac:dyDescent="0.25">
      <c r="A68" s="94" t="s">
        <v>124</v>
      </c>
      <c r="B68" s="67" t="s">
        <v>37</v>
      </c>
      <c r="C68" s="96" t="s">
        <v>135</v>
      </c>
    </row>
    <row r="69" spans="1:3" x14ac:dyDescent="0.25">
      <c r="A69" s="94" t="s">
        <v>125</v>
      </c>
      <c r="B69" s="67" t="s">
        <v>37</v>
      </c>
      <c r="C69" s="96" t="s">
        <v>136</v>
      </c>
    </row>
    <row r="70" spans="1:3" x14ac:dyDescent="0.25">
      <c r="A70" s="94" t="s">
        <v>36</v>
      </c>
      <c r="B70" s="67" t="s">
        <v>37</v>
      </c>
      <c r="C70" s="96" t="s">
        <v>137</v>
      </c>
    </row>
    <row r="71" spans="1:3" x14ac:dyDescent="0.25">
      <c r="A71" s="94" t="s">
        <v>128</v>
      </c>
      <c r="B71" s="67" t="s">
        <v>37</v>
      </c>
      <c r="C71" s="96" t="s">
        <v>138</v>
      </c>
    </row>
    <row r="72" spans="1:3" x14ac:dyDescent="0.25">
      <c r="A72" s="94" t="s">
        <v>127</v>
      </c>
      <c r="B72" s="67" t="s">
        <v>37</v>
      </c>
      <c r="C72" s="96" t="s">
        <v>139</v>
      </c>
    </row>
    <row r="73" spans="1:3" x14ac:dyDescent="0.25">
      <c r="A73" s="94" t="s">
        <v>141</v>
      </c>
      <c r="B73" s="67" t="s">
        <v>37</v>
      </c>
      <c r="C73" s="96" t="s">
        <v>142</v>
      </c>
    </row>
    <row r="74" spans="1:3" x14ac:dyDescent="0.25">
      <c r="A74" s="94" t="s">
        <v>129</v>
      </c>
      <c r="B74" s="67" t="s">
        <v>37</v>
      </c>
      <c r="C74" s="96" t="s">
        <v>142</v>
      </c>
    </row>
    <row r="75" spans="1:3" x14ac:dyDescent="0.25">
      <c r="A75" s="94" t="s">
        <v>130</v>
      </c>
      <c r="B75" s="67" t="s">
        <v>37</v>
      </c>
      <c r="C75" s="96" t="s">
        <v>143</v>
      </c>
    </row>
    <row r="77" spans="1:3" ht="20.25" x14ac:dyDescent="0.3">
      <c r="A77" s="65" t="s">
        <v>145</v>
      </c>
      <c r="B77" s="127"/>
      <c r="C77" s="127"/>
    </row>
    <row r="78" spans="1:3" ht="18" x14ac:dyDescent="0.25">
      <c r="A78" s="97" t="s">
        <v>146</v>
      </c>
      <c r="B78" s="67" t="s">
        <v>37</v>
      </c>
      <c r="C78" s="146" t="s">
        <v>149</v>
      </c>
    </row>
    <row r="79" spans="1:3" ht="18.75" x14ac:dyDescent="0.3">
      <c r="A79" s="98" t="s">
        <v>156</v>
      </c>
      <c r="B79" s="67" t="s">
        <v>37</v>
      </c>
      <c r="C79" s="146" t="s">
        <v>149</v>
      </c>
    </row>
    <row r="80" spans="1:3" ht="18.75" x14ac:dyDescent="0.3">
      <c r="A80" s="99" t="s">
        <v>144</v>
      </c>
      <c r="B80" s="67" t="s">
        <v>37</v>
      </c>
      <c r="C80" s="106" t="s">
        <v>148</v>
      </c>
    </row>
    <row r="81" spans="1:3" ht="18.75" x14ac:dyDescent="0.3">
      <c r="A81" s="100" t="s">
        <v>20</v>
      </c>
      <c r="B81" s="67" t="s">
        <v>37</v>
      </c>
      <c r="C81" s="107" t="s">
        <v>147</v>
      </c>
    </row>
    <row r="82" spans="1:3" ht="18.75" x14ac:dyDescent="0.3">
      <c r="A82" s="100" t="s">
        <v>49</v>
      </c>
      <c r="B82" s="67" t="s">
        <v>37</v>
      </c>
      <c r="C82" s="107" t="s">
        <v>147</v>
      </c>
    </row>
    <row r="83" spans="1:3" ht="18" x14ac:dyDescent="0.25">
      <c r="A83" s="168" t="s">
        <v>234</v>
      </c>
      <c r="B83" s="67" t="s">
        <v>37</v>
      </c>
      <c r="C83" s="108" t="s">
        <v>147</v>
      </c>
    </row>
    <row r="84" spans="1:3" ht="18" x14ac:dyDescent="0.25">
      <c r="A84" s="101" t="s">
        <v>85</v>
      </c>
      <c r="B84" s="67" t="s">
        <v>37</v>
      </c>
      <c r="C84" s="108" t="s">
        <v>147</v>
      </c>
    </row>
    <row r="85" spans="1:3" ht="18" x14ac:dyDescent="0.25">
      <c r="A85" s="101" t="s">
        <v>63</v>
      </c>
      <c r="B85" s="67" t="s">
        <v>37</v>
      </c>
      <c r="C85" s="108" t="s">
        <v>147</v>
      </c>
    </row>
    <row r="86" spans="1:3" ht="18" x14ac:dyDescent="0.25">
      <c r="A86" s="101" t="s">
        <v>86</v>
      </c>
      <c r="B86" s="67" t="s">
        <v>37</v>
      </c>
      <c r="C86" s="108" t="s">
        <v>147</v>
      </c>
    </row>
    <row r="87" spans="1:3" ht="18" x14ac:dyDescent="0.25">
      <c r="A87" s="102" t="s">
        <v>18</v>
      </c>
      <c r="B87" s="67" t="s">
        <v>37</v>
      </c>
      <c r="C87" s="95" t="s">
        <v>147</v>
      </c>
    </row>
    <row r="88" spans="1:3" ht="18" x14ac:dyDescent="0.25">
      <c r="A88" s="103" t="s">
        <v>70</v>
      </c>
      <c r="B88" s="67" t="s">
        <v>37</v>
      </c>
      <c r="C88" s="95" t="s">
        <v>147</v>
      </c>
    </row>
    <row r="89" spans="1:3" ht="18" x14ac:dyDescent="0.25">
      <c r="A89" s="103" t="s">
        <v>74</v>
      </c>
      <c r="B89" s="67" t="s">
        <v>37</v>
      </c>
      <c r="C89" s="95" t="s">
        <v>147</v>
      </c>
    </row>
    <row r="90" spans="1:3" ht="18" x14ac:dyDescent="0.25">
      <c r="A90" s="104" t="s">
        <v>110</v>
      </c>
      <c r="B90" s="67" t="s">
        <v>37</v>
      </c>
      <c r="C90" s="71" t="s">
        <v>147</v>
      </c>
    </row>
    <row r="91" spans="1:3" ht="18" x14ac:dyDescent="0.25">
      <c r="A91" s="104" t="s">
        <v>101</v>
      </c>
      <c r="B91" s="67" t="s">
        <v>37</v>
      </c>
      <c r="C91" s="71" t="s">
        <v>147</v>
      </c>
    </row>
    <row r="92" spans="1:3" ht="18" x14ac:dyDescent="0.25">
      <c r="A92" s="104" t="s">
        <v>102</v>
      </c>
      <c r="B92" s="67" t="s">
        <v>37</v>
      </c>
      <c r="C92" s="71" t="s">
        <v>147</v>
      </c>
    </row>
    <row r="93" spans="1:3" ht="18" x14ac:dyDescent="0.25">
      <c r="A93" s="104" t="s">
        <v>108</v>
      </c>
      <c r="B93" s="67" t="s">
        <v>37</v>
      </c>
      <c r="C93" s="71" t="s">
        <v>147</v>
      </c>
    </row>
    <row r="94" spans="1:3" ht="18" x14ac:dyDescent="0.25">
      <c r="A94" s="105" t="s">
        <v>19</v>
      </c>
      <c r="B94" s="67" t="s">
        <v>37</v>
      </c>
      <c r="C94" s="96" t="s">
        <v>147</v>
      </c>
    </row>
    <row r="95" spans="1:3" ht="18" x14ac:dyDescent="0.25">
      <c r="A95" s="105" t="s">
        <v>40</v>
      </c>
      <c r="B95" s="67" t="s">
        <v>37</v>
      </c>
      <c r="C95" s="96" t="s">
        <v>147</v>
      </c>
    </row>
    <row r="96" spans="1:3" ht="18" x14ac:dyDescent="0.25">
      <c r="A96" s="105" t="s">
        <v>36</v>
      </c>
      <c r="B96" s="67" t="s">
        <v>37</v>
      </c>
      <c r="C96" s="96" t="s">
        <v>147</v>
      </c>
    </row>
    <row r="97" spans="1:3" ht="18" x14ac:dyDescent="0.25">
      <c r="A97" s="109" t="s">
        <v>38</v>
      </c>
      <c r="B97" s="67" t="s">
        <v>37</v>
      </c>
      <c r="C97" s="110" t="s">
        <v>51</v>
      </c>
    </row>
  </sheetData>
  <mergeCells count="1">
    <mergeCell ref="A1:C1"/>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A434AA-AA05-48E7-B008-908DA44E7ADC}">
  <sheetPr>
    <tabColor rgb="FF00B0F0"/>
  </sheetPr>
  <dimension ref="A1:D52"/>
  <sheetViews>
    <sheetView topLeftCell="A3" zoomScaleNormal="100" workbookViewId="0">
      <selection sqref="A1:D52"/>
    </sheetView>
  </sheetViews>
  <sheetFormatPr defaultRowHeight="15" x14ac:dyDescent="0.25"/>
  <cols>
    <col min="1" max="1" width="65.5703125" customWidth="1"/>
    <col min="2" max="2" width="3.5703125" customWidth="1"/>
    <col min="3" max="3" width="87.140625" customWidth="1"/>
  </cols>
  <sheetData>
    <row r="1" spans="1:3" ht="18" x14ac:dyDescent="0.25">
      <c r="A1" s="273" t="s">
        <v>161</v>
      </c>
      <c r="B1" s="273"/>
      <c r="C1" s="273"/>
    </row>
    <row r="2" spans="1:3" ht="29.25" x14ac:dyDescent="0.25">
      <c r="A2" s="274" t="s">
        <v>207</v>
      </c>
      <c r="B2" s="137" t="s">
        <v>37</v>
      </c>
      <c r="C2" s="135" t="s">
        <v>220</v>
      </c>
    </row>
    <row r="3" spans="1:3" ht="115.5" x14ac:dyDescent="0.25">
      <c r="A3" s="274"/>
      <c r="B3" s="137" t="s">
        <v>37</v>
      </c>
      <c r="C3" s="145" t="s">
        <v>262</v>
      </c>
    </row>
    <row r="4" spans="1:3" ht="65.25" x14ac:dyDescent="0.25">
      <c r="A4" s="274"/>
      <c r="B4" s="136" t="s">
        <v>37</v>
      </c>
      <c r="C4" s="135" t="s">
        <v>221</v>
      </c>
    </row>
    <row r="5" spans="1:3" x14ac:dyDescent="0.25">
      <c r="A5" s="63"/>
      <c r="B5" s="62"/>
      <c r="C5" s="62"/>
    </row>
    <row r="6" spans="1:3" ht="18" x14ac:dyDescent="0.25">
      <c r="A6" s="64" t="s">
        <v>163</v>
      </c>
      <c r="B6" s="120"/>
      <c r="C6" s="120"/>
    </row>
    <row r="7" spans="1:3" x14ac:dyDescent="0.25">
      <c r="A7" s="82" t="s">
        <v>235</v>
      </c>
      <c r="B7" s="67" t="s">
        <v>37</v>
      </c>
      <c r="C7" s="81" t="s">
        <v>162</v>
      </c>
    </row>
    <row r="8" spans="1:3" x14ac:dyDescent="0.25">
      <c r="A8" s="83" t="s">
        <v>237</v>
      </c>
      <c r="B8" s="67" t="s">
        <v>37</v>
      </c>
      <c r="C8" s="83" t="s">
        <v>182</v>
      </c>
    </row>
    <row r="9" spans="1:3" x14ac:dyDescent="0.25">
      <c r="A9" s="81" t="s">
        <v>87</v>
      </c>
      <c r="B9" s="67" t="s">
        <v>37</v>
      </c>
      <c r="C9" s="83" t="s">
        <v>184</v>
      </c>
    </row>
    <row r="10" spans="1:3" x14ac:dyDescent="0.25">
      <c r="A10" s="82" t="s">
        <v>60</v>
      </c>
      <c r="B10" s="67" t="s">
        <v>37</v>
      </c>
      <c r="C10" s="81" t="s">
        <v>164</v>
      </c>
    </row>
    <row r="11" spans="1:3" x14ac:dyDescent="0.25">
      <c r="A11" s="81" t="s">
        <v>88</v>
      </c>
      <c r="B11" s="67" t="s">
        <v>37</v>
      </c>
      <c r="C11" s="81" t="s">
        <v>165</v>
      </c>
    </row>
    <row r="12" spans="1:3" x14ac:dyDescent="0.25">
      <c r="A12" s="81" t="s">
        <v>212</v>
      </c>
      <c r="B12" s="67" t="s">
        <v>37</v>
      </c>
      <c r="C12" s="81" t="s">
        <v>219</v>
      </c>
    </row>
    <row r="13" spans="1:3" x14ac:dyDescent="0.25">
      <c r="A13" s="81" t="s">
        <v>5</v>
      </c>
      <c r="B13" s="67" t="s">
        <v>37</v>
      </c>
      <c r="C13" s="83" t="s">
        <v>166</v>
      </c>
    </row>
    <row r="14" spans="1:3" x14ac:dyDescent="0.25">
      <c r="A14" s="82" t="s">
        <v>62</v>
      </c>
      <c r="B14" s="67" t="s">
        <v>37</v>
      </c>
      <c r="C14" s="82" t="s">
        <v>168</v>
      </c>
    </row>
    <row r="15" spans="1:3" x14ac:dyDescent="0.25">
      <c r="A15" s="81" t="s">
        <v>6</v>
      </c>
      <c r="B15" s="67" t="s">
        <v>37</v>
      </c>
      <c r="C15" s="81" t="s">
        <v>170</v>
      </c>
    </row>
    <row r="16" spans="1:3" x14ac:dyDescent="0.25">
      <c r="A16" s="130" t="s">
        <v>39</v>
      </c>
      <c r="B16" s="67" t="s">
        <v>37</v>
      </c>
      <c r="C16" s="83" t="s">
        <v>171</v>
      </c>
    </row>
    <row r="17" spans="1:4" x14ac:dyDescent="0.25">
      <c r="A17" s="132" t="s">
        <v>158</v>
      </c>
      <c r="B17" s="131" t="s">
        <v>37</v>
      </c>
      <c r="C17" s="129" t="s">
        <v>172</v>
      </c>
      <c r="D17" s="133"/>
    </row>
    <row r="18" spans="1:4" x14ac:dyDescent="0.25">
      <c r="A18" s="62"/>
      <c r="B18" s="91"/>
      <c r="C18" s="90"/>
    </row>
    <row r="19" spans="1:4" ht="18" x14ac:dyDescent="0.25">
      <c r="A19" s="92" t="s">
        <v>173</v>
      </c>
      <c r="B19" s="121"/>
      <c r="C19" s="122"/>
    </row>
    <row r="20" spans="1:4" x14ac:dyDescent="0.25">
      <c r="A20" s="78" t="s">
        <v>246</v>
      </c>
      <c r="B20" s="67" t="s">
        <v>37</v>
      </c>
      <c r="C20" s="77" t="s">
        <v>174</v>
      </c>
    </row>
    <row r="21" spans="1:4" x14ac:dyDescent="0.25">
      <c r="A21" s="79" t="s">
        <v>248</v>
      </c>
      <c r="B21" s="67" t="s">
        <v>37</v>
      </c>
      <c r="C21" s="79" t="s">
        <v>175</v>
      </c>
    </row>
    <row r="22" spans="1:4" x14ac:dyDescent="0.25">
      <c r="A22" s="88" t="s">
        <v>250</v>
      </c>
      <c r="B22" s="67" t="s">
        <v>37</v>
      </c>
      <c r="C22" s="79" t="s">
        <v>176</v>
      </c>
    </row>
    <row r="23" spans="1:4" x14ac:dyDescent="0.25">
      <c r="A23" s="78" t="s">
        <v>60</v>
      </c>
      <c r="B23" s="67" t="s">
        <v>37</v>
      </c>
      <c r="C23" s="77" t="s">
        <v>177</v>
      </c>
    </row>
    <row r="24" spans="1:4" x14ac:dyDescent="0.25">
      <c r="A24" s="78" t="s">
        <v>71</v>
      </c>
      <c r="B24" s="67" t="s">
        <v>37</v>
      </c>
      <c r="C24" s="77" t="s">
        <v>178</v>
      </c>
    </row>
    <row r="25" spans="1:4" x14ac:dyDescent="0.25">
      <c r="A25" s="77" t="s">
        <v>7</v>
      </c>
      <c r="B25" s="67" t="s">
        <v>37</v>
      </c>
      <c r="C25" s="77" t="s">
        <v>179</v>
      </c>
    </row>
    <row r="26" spans="1:4" x14ac:dyDescent="0.25">
      <c r="A26" s="91"/>
      <c r="B26" s="91"/>
      <c r="C26" s="90"/>
    </row>
    <row r="27" spans="1:4" ht="18" x14ac:dyDescent="0.25">
      <c r="A27" s="92" t="s">
        <v>180</v>
      </c>
      <c r="B27" s="123"/>
      <c r="C27" s="124"/>
    </row>
    <row r="28" spans="1:4" x14ac:dyDescent="0.25">
      <c r="A28" s="73" t="s">
        <v>92</v>
      </c>
      <c r="B28" s="67" t="s">
        <v>37</v>
      </c>
      <c r="C28" s="73" t="s">
        <v>181</v>
      </c>
    </row>
    <row r="29" spans="1:4" x14ac:dyDescent="0.25">
      <c r="A29" s="74" t="s">
        <v>8</v>
      </c>
      <c r="B29" s="67" t="s">
        <v>37</v>
      </c>
      <c r="C29" s="73" t="s">
        <v>183</v>
      </c>
    </row>
    <row r="30" spans="1:4" x14ac:dyDescent="0.25">
      <c r="A30" s="74" t="s">
        <v>9</v>
      </c>
      <c r="B30" s="67" t="s">
        <v>37</v>
      </c>
      <c r="C30" s="73" t="s">
        <v>185</v>
      </c>
    </row>
    <row r="31" spans="1:4" x14ac:dyDescent="0.25">
      <c r="A31" s="74" t="s">
        <v>93</v>
      </c>
      <c r="B31" s="67" t="s">
        <v>37</v>
      </c>
      <c r="C31" s="73" t="s">
        <v>186</v>
      </c>
    </row>
    <row r="32" spans="1:4" x14ac:dyDescent="0.25">
      <c r="A32" s="93"/>
      <c r="B32" s="93"/>
      <c r="C32" s="93"/>
    </row>
    <row r="33" spans="1:3" ht="18" x14ac:dyDescent="0.25">
      <c r="A33" s="92" t="s">
        <v>107</v>
      </c>
      <c r="B33" s="125"/>
      <c r="C33" s="126"/>
    </row>
    <row r="34" spans="1:3" x14ac:dyDescent="0.25">
      <c r="A34" s="66" t="s">
        <v>257</v>
      </c>
      <c r="B34" s="67" t="s">
        <v>37</v>
      </c>
      <c r="C34" s="68" t="s">
        <v>187</v>
      </c>
    </row>
    <row r="35" spans="1:3" x14ac:dyDescent="0.25">
      <c r="A35" s="66" t="s">
        <v>104</v>
      </c>
      <c r="B35" s="67" t="s">
        <v>37</v>
      </c>
      <c r="C35" s="68" t="s">
        <v>188</v>
      </c>
    </row>
    <row r="36" spans="1:3" x14ac:dyDescent="0.25">
      <c r="A36" s="66" t="s">
        <v>251</v>
      </c>
      <c r="B36" s="67" t="s">
        <v>37</v>
      </c>
      <c r="C36" s="68" t="s">
        <v>189</v>
      </c>
    </row>
    <row r="37" spans="1:3" x14ac:dyDescent="0.25">
      <c r="A37" s="66" t="s">
        <v>260</v>
      </c>
      <c r="B37" s="67" t="s">
        <v>37</v>
      </c>
      <c r="C37" s="68" t="s">
        <v>190</v>
      </c>
    </row>
    <row r="38" spans="1:3" x14ac:dyDescent="0.25">
      <c r="A38" s="72" t="s">
        <v>261</v>
      </c>
      <c r="B38" s="69" t="s">
        <v>37</v>
      </c>
      <c r="C38" s="70" t="s">
        <v>191</v>
      </c>
    </row>
    <row r="39" spans="1:3" ht="29.25" x14ac:dyDescent="0.25">
      <c r="A39" s="66" t="s">
        <v>105</v>
      </c>
      <c r="B39" s="67" t="s">
        <v>37</v>
      </c>
      <c r="C39" s="70" t="s">
        <v>192</v>
      </c>
    </row>
    <row r="40" spans="1:3" x14ac:dyDescent="0.25">
      <c r="A40" s="66" t="s">
        <v>11</v>
      </c>
      <c r="B40" s="67" t="s">
        <v>37</v>
      </c>
      <c r="C40" s="68" t="s">
        <v>193</v>
      </c>
    </row>
    <row r="41" spans="1:3" x14ac:dyDescent="0.25">
      <c r="A41" s="66" t="s">
        <v>109</v>
      </c>
      <c r="B41" s="67" t="s">
        <v>37</v>
      </c>
      <c r="C41" s="68" t="s">
        <v>194</v>
      </c>
    </row>
    <row r="42" spans="1:3" x14ac:dyDescent="0.25">
      <c r="A42" s="66" t="s">
        <v>106</v>
      </c>
      <c r="B42" s="67" t="s">
        <v>37</v>
      </c>
      <c r="C42" s="66" t="s">
        <v>195</v>
      </c>
    </row>
    <row r="44" spans="1:3" ht="18" x14ac:dyDescent="0.25">
      <c r="A44" s="64" t="s">
        <v>196</v>
      </c>
      <c r="B44" s="127"/>
      <c r="C44" s="127"/>
    </row>
    <row r="45" spans="1:3" x14ac:dyDescent="0.25">
      <c r="A45" s="94" t="s">
        <v>197</v>
      </c>
      <c r="B45" s="67" t="s">
        <v>37</v>
      </c>
      <c r="C45" s="94" t="s">
        <v>198</v>
      </c>
    </row>
    <row r="46" spans="1:3" x14ac:dyDescent="0.25">
      <c r="A46" s="94" t="s">
        <v>123</v>
      </c>
      <c r="B46" s="67" t="s">
        <v>37</v>
      </c>
      <c r="C46" s="94" t="s">
        <v>200</v>
      </c>
    </row>
    <row r="47" spans="1:3" x14ac:dyDescent="0.25">
      <c r="A47" s="94" t="s">
        <v>124</v>
      </c>
      <c r="B47" s="67" t="s">
        <v>37</v>
      </c>
      <c r="C47" s="94" t="s">
        <v>201</v>
      </c>
    </row>
    <row r="48" spans="1:3" x14ac:dyDescent="0.25">
      <c r="A48" s="94" t="s">
        <v>125</v>
      </c>
      <c r="B48" s="67" t="s">
        <v>37</v>
      </c>
      <c r="C48" s="94" t="s">
        <v>202</v>
      </c>
    </row>
    <row r="49" spans="1:3" x14ac:dyDescent="0.25">
      <c r="A49" s="94" t="s">
        <v>128</v>
      </c>
      <c r="B49" s="67" t="s">
        <v>37</v>
      </c>
      <c r="C49" s="94" t="s">
        <v>203</v>
      </c>
    </row>
    <row r="50" spans="1:3" x14ac:dyDescent="0.25">
      <c r="A50" s="94" t="s">
        <v>127</v>
      </c>
      <c r="B50" s="67" t="s">
        <v>37</v>
      </c>
      <c r="C50" s="94" t="s">
        <v>204</v>
      </c>
    </row>
    <row r="51" spans="1:3" ht="29.25" x14ac:dyDescent="0.25">
      <c r="A51" s="94" t="s">
        <v>129</v>
      </c>
      <c r="B51" s="67" t="s">
        <v>37</v>
      </c>
      <c r="C51" s="134" t="s">
        <v>205</v>
      </c>
    </row>
    <row r="52" spans="1:3" x14ac:dyDescent="0.25">
      <c r="A52" s="94" t="s">
        <v>130</v>
      </c>
      <c r="B52" s="67" t="s">
        <v>37</v>
      </c>
      <c r="C52" s="94" t="s">
        <v>206</v>
      </c>
    </row>
  </sheetData>
  <mergeCells count="2">
    <mergeCell ref="A1:C1"/>
    <mergeCell ref="A2:A4"/>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CD6D26-55B8-47A4-BDF2-8A0F5270C113}">
  <sheetPr>
    <tabColor rgb="FF00FF00"/>
  </sheetPr>
  <dimension ref="A1:BH65"/>
  <sheetViews>
    <sheetView tabSelected="1" zoomScale="62" zoomScaleNormal="62" workbookViewId="0">
      <pane xSplit="2" ySplit="3" topLeftCell="C4" activePane="bottomRight" state="frozen"/>
      <selection pane="topRight" activeCell="C1" sqref="C1"/>
      <selection pane="bottomLeft" activeCell="A4" sqref="A4"/>
      <selection pane="bottomRight" activeCell="C3" sqref="C3"/>
    </sheetView>
  </sheetViews>
  <sheetFormatPr defaultRowHeight="21" x14ac:dyDescent="0.25"/>
  <cols>
    <col min="1" max="1" width="9.5703125" style="31" customWidth="1"/>
    <col min="2" max="2" width="16.5703125" style="31" customWidth="1"/>
    <col min="3" max="3" width="22.5703125" style="31" bestFit="1" customWidth="1"/>
    <col min="4" max="17" width="19.42578125" style="31" customWidth="1"/>
    <col min="18" max="18" width="26.5703125" style="31" bestFit="1" customWidth="1"/>
    <col min="19" max="19" width="19.42578125" style="31" customWidth="1"/>
    <col min="20" max="28" width="17.140625" style="31" customWidth="1"/>
    <col min="29" max="32" width="18.85546875" style="31" customWidth="1"/>
    <col min="33" max="33" width="17.42578125" style="31" customWidth="1"/>
    <col min="34" max="34" width="15.5703125" style="31" bestFit="1" customWidth="1"/>
    <col min="35" max="36" width="15" style="31" customWidth="1"/>
    <col min="37" max="37" width="17.140625" style="31" bestFit="1" customWidth="1"/>
    <col min="38" max="41" width="13.5703125" style="31" customWidth="1"/>
    <col min="42" max="42" width="14.85546875" style="31" bestFit="1" customWidth="1"/>
    <col min="43" max="43" width="18.85546875" style="31" bestFit="1" customWidth="1"/>
    <col min="44" max="44" width="14.85546875" style="31" customWidth="1"/>
    <col min="45" max="45" width="22.42578125" style="31" bestFit="1" customWidth="1"/>
    <col min="46" max="49" width="20.85546875" style="31" customWidth="1"/>
    <col min="50" max="60" width="20" style="31" customWidth="1"/>
    <col min="61" max="16384" width="9.140625" style="31"/>
  </cols>
  <sheetData>
    <row r="1" spans="1:60" ht="34.35" hidden="1" customHeight="1" thickBot="1" x14ac:dyDescent="0.3">
      <c r="A1" s="61"/>
      <c r="B1" s="61"/>
      <c r="C1" s="173" t="s">
        <v>210</v>
      </c>
      <c r="D1" s="272" t="s">
        <v>264</v>
      </c>
      <c r="E1" s="272"/>
      <c r="F1" s="25"/>
      <c r="G1" s="25"/>
      <c r="H1" s="25"/>
      <c r="I1" s="25"/>
      <c r="J1" s="25"/>
      <c r="K1" s="25"/>
      <c r="L1" s="25"/>
      <c r="M1" s="25"/>
      <c r="N1" s="25"/>
      <c r="O1" s="25"/>
      <c r="P1" s="25"/>
      <c r="Q1" s="25"/>
      <c r="R1" s="174" t="s">
        <v>263</v>
      </c>
      <c r="S1" s="25"/>
      <c r="T1" s="25"/>
      <c r="U1" s="25"/>
      <c r="V1" s="25"/>
      <c r="W1" s="25"/>
      <c r="X1" s="25"/>
      <c r="Y1" s="25"/>
      <c r="Z1" s="25"/>
      <c r="AA1" s="25"/>
      <c r="AB1" s="25"/>
      <c r="AC1" s="25"/>
      <c r="AD1" s="25"/>
      <c r="AE1" s="252" t="s">
        <v>17</v>
      </c>
      <c r="AF1" s="253"/>
      <c r="AG1" s="253"/>
      <c r="AH1" s="254"/>
      <c r="AI1" s="142">
        <v>6</v>
      </c>
      <c r="AJ1" s="24"/>
      <c r="AK1" s="30"/>
      <c r="AL1" s="267" t="s">
        <v>16</v>
      </c>
      <c r="AM1" s="267"/>
      <c r="AN1" s="267"/>
      <c r="AO1" s="267"/>
      <c r="AP1" s="268"/>
      <c r="AQ1" s="142">
        <v>84</v>
      </c>
      <c r="AR1" s="25"/>
      <c r="AS1" s="175" t="s">
        <v>215</v>
      </c>
      <c r="AT1" s="25"/>
      <c r="AU1" s="25"/>
      <c r="AV1" s="25"/>
      <c r="AW1" s="25"/>
      <c r="AX1" s="25"/>
      <c r="AY1" s="25"/>
      <c r="AZ1" s="25"/>
      <c r="BA1" s="25"/>
      <c r="BB1" s="25"/>
      <c r="BC1" s="25"/>
      <c r="BD1" s="25"/>
      <c r="BE1" s="25"/>
      <c r="BF1" s="25"/>
      <c r="BG1" s="25"/>
      <c r="BH1" s="25"/>
    </row>
    <row r="2" spans="1:60" ht="19.5" customHeight="1" thickBot="1" x14ac:dyDescent="0.3">
      <c r="A2" s="270" t="s">
        <v>20</v>
      </c>
      <c r="B2" s="270" t="s">
        <v>49</v>
      </c>
      <c r="C2" s="255" t="s">
        <v>0</v>
      </c>
      <c r="D2" s="256"/>
      <c r="E2" s="256"/>
      <c r="F2" s="256"/>
      <c r="G2" s="256"/>
      <c r="H2" s="256"/>
      <c r="I2" s="256"/>
      <c r="J2" s="256"/>
      <c r="K2" s="256"/>
      <c r="L2" s="256"/>
      <c r="M2" s="256"/>
      <c r="N2" s="256"/>
      <c r="O2" s="256"/>
      <c r="P2" s="256"/>
      <c r="Q2" s="256"/>
      <c r="R2" s="256"/>
      <c r="S2" s="257"/>
      <c r="T2" s="258" t="s">
        <v>1</v>
      </c>
      <c r="U2" s="259"/>
      <c r="V2" s="259"/>
      <c r="W2" s="259"/>
      <c r="X2" s="259"/>
      <c r="Y2" s="259"/>
      <c r="Z2" s="259"/>
      <c r="AA2" s="259"/>
      <c r="AB2" s="260"/>
      <c r="AC2" s="261" t="s">
        <v>2</v>
      </c>
      <c r="AD2" s="262"/>
      <c r="AE2" s="262"/>
      <c r="AF2" s="263"/>
      <c r="AG2" s="264">
        <v>4</v>
      </c>
      <c r="AH2" s="265"/>
      <c r="AI2" s="265"/>
      <c r="AJ2" s="265"/>
      <c r="AK2" s="265"/>
      <c r="AL2" s="265"/>
      <c r="AM2" s="265"/>
      <c r="AN2" s="265"/>
      <c r="AO2" s="265"/>
      <c r="AP2" s="265"/>
      <c r="AQ2" s="265"/>
      <c r="AR2" s="265"/>
      <c r="AS2" s="266"/>
      <c r="AT2" s="249" t="s">
        <v>14</v>
      </c>
      <c r="AU2" s="250"/>
      <c r="AV2" s="250"/>
      <c r="AW2" s="250"/>
      <c r="AX2" s="250"/>
      <c r="AY2" s="250"/>
      <c r="AZ2" s="250"/>
      <c r="BA2" s="250"/>
      <c r="BB2" s="250"/>
      <c r="BC2" s="250"/>
      <c r="BD2" s="250"/>
      <c r="BE2" s="250"/>
      <c r="BF2" s="250"/>
      <c r="BG2" s="250"/>
      <c r="BH2" s="251"/>
    </row>
    <row r="3" spans="1:60" ht="87.75" customHeight="1" thickBot="1" x14ac:dyDescent="0.3">
      <c r="A3" s="270"/>
      <c r="B3" s="270"/>
      <c r="C3" s="38" t="s">
        <v>231</v>
      </c>
      <c r="D3" s="38" t="s">
        <v>232</v>
      </c>
      <c r="E3" s="38" t="s">
        <v>233</v>
      </c>
      <c r="F3" s="38" t="s">
        <v>238</v>
      </c>
      <c r="G3" s="38" t="s">
        <v>167</v>
      </c>
      <c r="H3" s="38" t="s">
        <v>3</v>
      </c>
      <c r="I3" s="38" t="s">
        <v>4</v>
      </c>
      <c r="J3" s="38" t="s">
        <v>59</v>
      </c>
      <c r="K3" s="38" t="s">
        <v>213</v>
      </c>
      <c r="L3" s="38" t="s">
        <v>211</v>
      </c>
      <c r="M3" s="38" t="s">
        <v>212</v>
      </c>
      <c r="N3" s="38" t="s">
        <v>5</v>
      </c>
      <c r="O3" s="38" t="s">
        <v>61</v>
      </c>
      <c r="P3" s="35" t="s">
        <v>6</v>
      </c>
      <c r="Q3" s="38" t="s">
        <v>39</v>
      </c>
      <c r="R3" s="171" t="s">
        <v>157</v>
      </c>
      <c r="S3" s="171" t="s">
        <v>158</v>
      </c>
      <c r="T3" s="39" t="s">
        <v>239</v>
      </c>
      <c r="U3" s="39" t="s">
        <v>240</v>
      </c>
      <c r="V3" s="39" t="s">
        <v>241</v>
      </c>
      <c r="W3" s="39" t="s">
        <v>242</v>
      </c>
      <c r="X3" s="39" t="s">
        <v>243</v>
      </c>
      <c r="Y3" s="39" t="s">
        <v>244</v>
      </c>
      <c r="Z3" s="39" t="s">
        <v>73</v>
      </c>
      <c r="AA3" s="39" t="s">
        <v>72</v>
      </c>
      <c r="AB3" s="39" t="s">
        <v>7</v>
      </c>
      <c r="AC3" s="40" t="s">
        <v>92</v>
      </c>
      <c r="AD3" s="40" t="s">
        <v>8</v>
      </c>
      <c r="AE3" s="40" t="s">
        <v>9</v>
      </c>
      <c r="AF3" s="40" t="s">
        <v>93</v>
      </c>
      <c r="AG3" s="41" t="s">
        <v>214</v>
      </c>
      <c r="AH3" s="41" t="s">
        <v>10</v>
      </c>
      <c r="AI3" s="41" t="s">
        <v>256</v>
      </c>
      <c r="AJ3" s="41" t="s">
        <v>103</v>
      </c>
      <c r="AK3" s="41" t="s">
        <v>255</v>
      </c>
      <c r="AL3" s="41" t="s">
        <v>254</v>
      </c>
      <c r="AM3" s="41" t="s">
        <v>251</v>
      </c>
      <c r="AN3" s="41" t="s">
        <v>252</v>
      </c>
      <c r="AO3" s="41" t="s">
        <v>253</v>
      </c>
      <c r="AP3" s="36" t="s">
        <v>100</v>
      </c>
      <c r="AQ3" s="36" t="s">
        <v>11</v>
      </c>
      <c r="AR3" s="36" t="s">
        <v>12</v>
      </c>
      <c r="AS3" s="169" t="s">
        <v>13</v>
      </c>
      <c r="AT3" s="42" t="s">
        <v>19</v>
      </c>
      <c r="AU3" s="42" t="s">
        <v>199</v>
      </c>
      <c r="AV3" s="42" t="s">
        <v>126</v>
      </c>
      <c r="AW3" s="42" t="s">
        <v>40</v>
      </c>
      <c r="AX3" s="42" t="s">
        <v>41</v>
      </c>
      <c r="AY3" s="37" t="s">
        <v>125</v>
      </c>
      <c r="AZ3" s="42" t="s">
        <v>36</v>
      </c>
      <c r="BA3" s="42" t="s">
        <v>42</v>
      </c>
      <c r="BB3" s="42" t="s">
        <v>127</v>
      </c>
      <c r="BC3" s="141" t="s">
        <v>208</v>
      </c>
      <c r="BD3" s="42" t="s">
        <v>15</v>
      </c>
      <c r="BE3" s="37" t="s">
        <v>6</v>
      </c>
      <c r="BF3" s="141" t="s">
        <v>209</v>
      </c>
      <c r="BG3" s="42" t="s">
        <v>15</v>
      </c>
      <c r="BH3" s="37" t="s">
        <v>6</v>
      </c>
    </row>
    <row r="4" spans="1:60" s="32" customFormat="1" ht="24.95" customHeight="1" thickBot="1" x14ac:dyDescent="0.4">
      <c r="A4" s="143">
        <f>B4</f>
        <v>46113</v>
      </c>
      <c r="B4" s="111">
        <v>46113</v>
      </c>
      <c r="C4" s="112">
        <v>91837</v>
      </c>
      <c r="D4" s="138">
        <f>C4</f>
        <v>91837</v>
      </c>
      <c r="E4" s="114">
        <v>95000</v>
      </c>
      <c r="F4" s="43">
        <f>E4</f>
        <v>95000</v>
      </c>
      <c r="G4" s="115">
        <v>83967</v>
      </c>
      <c r="H4" s="112"/>
      <c r="I4" s="43">
        <f>H4</f>
        <v>0</v>
      </c>
      <c r="J4" s="43">
        <f t="shared" ref="J4:J34" si="0">H4-E4</f>
        <v>-95000</v>
      </c>
      <c r="K4" s="43">
        <f>J4</f>
        <v>-95000</v>
      </c>
      <c r="L4" s="248"/>
      <c r="M4" s="43">
        <f>L5+L4</f>
        <v>0</v>
      </c>
      <c r="N4" s="44">
        <f t="shared" ref="N4:N34" si="1">K4/F4</f>
        <v>-1</v>
      </c>
      <c r="O4" s="43">
        <f t="shared" ref="O4:O34" si="2">H4-G4</f>
        <v>-83967</v>
      </c>
      <c r="P4" s="45">
        <f t="shared" ref="P4:P34" si="3">IF(ISERROR(O4/G4),0,O4/G4)</f>
        <v>-1</v>
      </c>
      <c r="Q4" s="44">
        <f t="shared" ref="Q4:Q34" si="4">(I4-D4)/D4</f>
        <v>-1</v>
      </c>
      <c r="R4" s="140"/>
      <c r="S4" s="172" t="e">
        <f t="shared" ref="S4:S35" si="5">R4/H4</f>
        <v>#DIV/0!</v>
      </c>
      <c r="T4" s="176">
        <v>320</v>
      </c>
      <c r="U4" s="47">
        <f>T4</f>
        <v>320</v>
      </c>
      <c r="V4" s="116">
        <v>340</v>
      </c>
      <c r="W4" s="47">
        <f>V4</f>
        <v>340</v>
      </c>
      <c r="X4" s="115"/>
      <c r="Y4" s="46">
        <f>X4</f>
        <v>0</v>
      </c>
      <c r="Z4" s="46">
        <f>Y4-W4</f>
        <v>-340</v>
      </c>
      <c r="AA4" s="46">
        <f>Y4-U4</f>
        <v>-320</v>
      </c>
      <c r="AB4" s="52">
        <f>(Y4-U4)/U4</f>
        <v>-1</v>
      </c>
      <c r="AC4" s="48">
        <f t="shared" ref="AC4:AC35" si="6">C4/T4</f>
        <v>286.99062500000002</v>
      </c>
      <c r="AD4" s="48">
        <f t="shared" ref="AD4:AD35" si="7">E4/V4</f>
        <v>279.41176470588238</v>
      </c>
      <c r="AE4" s="48" t="e">
        <f t="shared" ref="AE4:AE35" si="8">H4/X4</f>
        <v>#DIV/0!</v>
      </c>
      <c r="AF4" s="48" t="e">
        <f>AE4-AD4</f>
        <v>#DIV/0!</v>
      </c>
      <c r="AG4" s="112"/>
      <c r="AH4" s="112">
        <v>88</v>
      </c>
      <c r="AI4" s="49">
        <f>AH4</f>
        <v>88</v>
      </c>
      <c r="AJ4" s="49">
        <f>$AI$1*8</f>
        <v>48</v>
      </c>
      <c r="AK4" s="112"/>
      <c r="AL4" s="112">
        <v>0</v>
      </c>
      <c r="AM4" s="49">
        <f>SUM(AK4:AL4)</f>
        <v>0</v>
      </c>
      <c r="AN4" s="49">
        <f>AM4</f>
        <v>0</v>
      </c>
      <c r="AO4" s="49">
        <f>SUM(AM4)-AH4</f>
        <v>-88</v>
      </c>
      <c r="AP4" s="49">
        <f t="shared" ref="AP4:AP34" si="9">SUM(AJ4:AL4)*AQ$1</f>
        <v>4032</v>
      </c>
      <c r="AQ4" s="49">
        <f>AP4</f>
        <v>4032</v>
      </c>
      <c r="AR4" s="50">
        <f t="shared" ref="AR4:AR34" si="10">IF(ISERROR(AQ4/I4),0,AQ4/I4)</f>
        <v>0</v>
      </c>
      <c r="AS4" s="170" t="e">
        <f t="shared" ref="AS4:AS32" si="11">Y4/AN4</f>
        <v>#DIV/0!</v>
      </c>
      <c r="AT4" s="117"/>
      <c r="AU4" s="60">
        <f>AT4</f>
        <v>0</v>
      </c>
      <c r="AV4" s="51" t="e">
        <f t="shared" ref="AV4:AV35" si="12">AU4/Y4</f>
        <v>#DIV/0!</v>
      </c>
      <c r="AW4" s="117"/>
      <c r="AX4" s="37">
        <f>AW4</f>
        <v>0</v>
      </c>
      <c r="AY4" s="51" t="e">
        <f t="shared" ref="AY4:AY35" si="13">AX4/Y4</f>
        <v>#DIV/0!</v>
      </c>
      <c r="AZ4" s="118"/>
      <c r="BA4" s="37">
        <f>AZ4</f>
        <v>0</v>
      </c>
      <c r="BB4" s="51" t="e">
        <f t="shared" ref="BB4:BB35" si="14">BA4/Y4</f>
        <v>#DIV/0!</v>
      </c>
      <c r="BC4" s="118"/>
      <c r="BD4" s="37">
        <f>BC4</f>
        <v>0</v>
      </c>
      <c r="BE4" s="51" t="e">
        <f t="shared" ref="BE4:BE35" si="15">BD4/Y4</f>
        <v>#DIV/0!</v>
      </c>
      <c r="BF4" s="118"/>
      <c r="BG4" s="37">
        <f>BF4</f>
        <v>0</v>
      </c>
      <c r="BH4" s="51" t="e">
        <f t="shared" ref="BH4:BH35" si="16">BG4/Y4</f>
        <v>#DIV/0!</v>
      </c>
    </row>
    <row r="5" spans="1:60" ht="24.95" customHeight="1" thickBot="1" x14ac:dyDescent="0.4">
      <c r="A5" s="143">
        <f>B5</f>
        <v>46114</v>
      </c>
      <c r="B5" s="144">
        <f>B4+1</f>
        <v>46114</v>
      </c>
      <c r="C5" s="112">
        <v>66417</v>
      </c>
      <c r="D5" s="138">
        <f>C5+D4</f>
        <v>158254</v>
      </c>
      <c r="E5" s="114">
        <v>95000</v>
      </c>
      <c r="F5" s="43">
        <f>E5+F4</f>
        <v>190000</v>
      </c>
      <c r="G5" s="115">
        <v>86741</v>
      </c>
      <c r="H5" s="112"/>
      <c r="I5" s="43">
        <f>H5+I4</f>
        <v>0</v>
      </c>
      <c r="J5" s="43">
        <f t="shared" si="0"/>
        <v>-95000</v>
      </c>
      <c r="K5" s="43">
        <f>J5+K4</f>
        <v>-190000</v>
      </c>
      <c r="L5" s="113"/>
      <c r="M5" s="43">
        <f t="shared" ref="M5:M34" si="17">L6+M4</f>
        <v>0</v>
      </c>
      <c r="N5" s="44">
        <f t="shared" si="1"/>
        <v>-1</v>
      </c>
      <c r="O5" s="43">
        <f t="shared" si="2"/>
        <v>-86741</v>
      </c>
      <c r="P5" s="45">
        <f t="shared" si="3"/>
        <v>-1</v>
      </c>
      <c r="Q5" s="44">
        <f t="shared" si="4"/>
        <v>-1</v>
      </c>
      <c r="R5" s="140"/>
      <c r="S5" s="172" t="e">
        <f t="shared" si="5"/>
        <v>#DIV/0!</v>
      </c>
      <c r="T5" s="177">
        <v>275</v>
      </c>
      <c r="U5" s="47">
        <f>T5+U4</f>
        <v>595</v>
      </c>
      <c r="V5" s="116">
        <v>340</v>
      </c>
      <c r="W5" s="47">
        <f>V5+W4</f>
        <v>680</v>
      </c>
      <c r="X5" s="115"/>
      <c r="Y5" s="46">
        <f>X5+Y4</f>
        <v>0</v>
      </c>
      <c r="Z5" s="46">
        <f>Y5-W5</f>
        <v>-680</v>
      </c>
      <c r="AA5" s="46">
        <f t="shared" ref="AA5:AA29" si="18">Y5-U5</f>
        <v>-595</v>
      </c>
      <c r="AB5" s="52">
        <f t="shared" ref="AB5:AB34" si="19">(Y5-U5)/U5</f>
        <v>-1</v>
      </c>
      <c r="AC5" s="48">
        <f t="shared" si="6"/>
        <v>241.51636363636365</v>
      </c>
      <c r="AD5" s="48">
        <f t="shared" si="7"/>
        <v>279.41176470588238</v>
      </c>
      <c r="AE5" s="48" t="e">
        <f t="shared" si="8"/>
        <v>#DIV/0!</v>
      </c>
      <c r="AF5" s="48" t="e">
        <f t="shared" ref="AF5:AF34" si="20">AE5-AD5</f>
        <v>#DIV/0!</v>
      </c>
      <c r="AG5" s="112"/>
      <c r="AH5" s="112">
        <v>88</v>
      </c>
      <c r="AI5" s="49">
        <f>AH5+AI4</f>
        <v>176</v>
      </c>
      <c r="AJ5" s="49">
        <f t="shared" ref="AJ5:AJ34" si="21">$AI$1*8</f>
        <v>48</v>
      </c>
      <c r="AK5" s="112"/>
      <c r="AL5" s="112">
        <v>0</v>
      </c>
      <c r="AM5" s="49">
        <f t="shared" ref="AM5:AM34" si="22">SUM(AK5:AL5)</f>
        <v>0</v>
      </c>
      <c r="AN5" s="49">
        <f>AM5+AN4</f>
        <v>0</v>
      </c>
      <c r="AO5" s="49">
        <f t="shared" ref="AO5:AO34" si="23">SUM(AM5)-AH5</f>
        <v>-88</v>
      </c>
      <c r="AP5" s="49">
        <f t="shared" si="9"/>
        <v>4032</v>
      </c>
      <c r="AQ5" s="49">
        <f>SUM(AP5,AQ4)</f>
        <v>8064</v>
      </c>
      <c r="AR5" s="50">
        <f t="shared" si="10"/>
        <v>0</v>
      </c>
      <c r="AS5" s="170" t="e">
        <f t="shared" si="11"/>
        <v>#DIV/0!</v>
      </c>
      <c r="AT5" s="117"/>
      <c r="AU5" s="60">
        <f>AT5+AU4</f>
        <v>0</v>
      </c>
      <c r="AV5" s="51" t="e">
        <f t="shared" si="12"/>
        <v>#DIV/0!</v>
      </c>
      <c r="AW5" s="117"/>
      <c r="AX5" s="37">
        <f>AW5+AX4</f>
        <v>0</v>
      </c>
      <c r="AY5" s="51" t="e">
        <f t="shared" si="13"/>
        <v>#DIV/0!</v>
      </c>
      <c r="AZ5" s="118"/>
      <c r="BA5" s="37">
        <f>AZ5+BA4</f>
        <v>0</v>
      </c>
      <c r="BB5" s="51" t="e">
        <f t="shared" si="14"/>
        <v>#DIV/0!</v>
      </c>
      <c r="BC5" s="118"/>
      <c r="BD5" s="37">
        <f>BC5+BD4</f>
        <v>0</v>
      </c>
      <c r="BE5" s="51" t="e">
        <f t="shared" si="15"/>
        <v>#DIV/0!</v>
      </c>
      <c r="BF5" s="118"/>
      <c r="BG5" s="37">
        <f>BF5+BG4</f>
        <v>0</v>
      </c>
      <c r="BH5" s="51" t="e">
        <f t="shared" si="16"/>
        <v>#DIV/0!</v>
      </c>
    </row>
    <row r="6" spans="1:60" ht="24.95" customHeight="1" thickBot="1" x14ac:dyDescent="0.4">
      <c r="A6" s="143">
        <f t="shared" ref="A6:A32" si="24">B6</f>
        <v>46115</v>
      </c>
      <c r="B6" s="144">
        <f t="shared" ref="B6:B34" si="25">B5+1</f>
        <v>46115</v>
      </c>
      <c r="C6" s="113">
        <v>89998</v>
      </c>
      <c r="D6" s="138">
        <f t="shared" ref="D6:D34" si="26">C6+D5</f>
        <v>248252</v>
      </c>
      <c r="E6" s="114">
        <v>95000</v>
      </c>
      <c r="F6" s="43">
        <f t="shared" ref="F6:F21" si="27">E6+F5</f>
        <v>285000</v>
      </c>
      <c r="G6" s="115">
        <v>89991</v>
      </c>
      <c r="H6" s="113"/>
      <c r="I6" s="43">
        <f t="shared" ref="I6:I34" si="28">H6+I5</f>
        <v>0</v>
      </c>
      <c r="J6" s="43">
        <f t="shared" si="0"/>
        <v>-95000</v>
      </c>
      <c r="K6" s="43">
        <f t="shared" ref="K6:K34" si="29">J6+K5</f>
        <v>-285000</v>
      </c>
      <c r="L6" s="113"/>
      <c r="M6" s="43">
        <f t="shared" si="17"/>
        <v>0</v>
      </c>
      <c r="N6" s="44">
        <f t="shared" si="1"/>
        <v>-1</v>
      </c>
      <c r="O6" s="43">
        <f t="shared" si="2"/>
        <v>-89991</v>
      </c>
      <c r="P6" s="45">
        <f t="shared" si="3"/>
        <v>-1</v>
      </c>
      <c r="Q6" s="44">
        <f t="shared" si="4"/>
        <v>-1</v>
      </c>
      <c r="R6" s="140"/>
      <c r="S6" s="172" t="e">
        <f t="shared" si="5"/>
        <v>#DIV/0!</v>
      </c>
      <c r="T6" s="177">
        <v>323</v>
      </c>
      <c r="U6" s="47">
        <f t="shared" ref="U6:U34" si="30">T6+U5</f>
        <v>918</v>
      </c>
      <c r="V6" s="116">
        <v>340</v>
      </c>
      <c r="W6" s="47">
        <f t="shared" ref="W6:W34" si="31">V6+W5</f>
        <v>1020</v>
      </c>
      <c r="X6" s="115"/>
      <c r="Y6" s="46">
        <f t="shared" ref="Y6:Y34" si="32">X6+Y5</f>
        <v>0</v>
      </c>
      <c r="Z6" s="46">
        <f t="shared" ref="Z6:Z29" si="33">Y6-W6</f>
        <v>-1020</v>
      </c>
      <c r="AA6" s="46">
        <f t="shared" si="18"/>
        <v>-918</v>
      </c>
      <c r="AB6" s="52">
        <f t="shared" si="19"/>
        <v>-1</v>
      </c>
      <c r="AC6" s="48">
        <f t="shared" si="6"/>
        <v>278.63157894736844</v>
      </c>
      <c r="AD6" s="48">
        <f t="shared" si="7"/>
        <v>279.41176470588238</v>
      </c>
      <c r="AE6" s="48" t="e">
        <f t="shared" si="8"/>
        <v>#DIV/0!</v>
      </c>
      <c r="AF6" s="48" t="e">
        <f t="shared" si="20"/>
        <v>#DIV/0!</v>
      </c>
      <c r="AG6" s="112"/>
      <c r="AH6" s="112">
        <v>88</v>
      </c>
      <c r="AI6" s="49">
        <f t="shared" ref="AI6:AI30" si="34">AH6+AI5</f>
        <v>264</v>
      </c>
      <c r="AJ6" s="49">
        <f t="shared" si="21"/>
        <v>48</v>
      </c>
      <c r="AK6" s="112"/>
      <c r="AL6" s="112">
        <v>0</v>
      </c>
      <c r="AM6" s="49">
        <f t="shared" si="22"/>
        <v>0</v>
      </c>
      <c r="AN6" s="49">
        <f t="shared" ref="AN6:AN29" si="35">AM6+AN5</f>
        <v>0</v>
      </c>
      <c r="AO6" s="49">
        <f t="shared" si="23"/>
        <v>-88</v>
      </c>
      <c r="AP6" s="49">
        <f t="shared" si="9"/>
        <v>4032</v>
      </c>
      <c r="AQ6" s="49">
        <f t="shared" ref="AQ6:AQ30" si="36">SUM(AP6,AQ5)</f>
        <v>12096</v>
      </c>
      <c r="AR6" s="50">
        <f t="shared" si="10"/>
        <v>0</v>
      </c>
      <c r="AS6" s="170" t="e">
        <f t="shared" si="11"/>
        <v>#DIV/0!</v>
      </c>
      <c r="AT6" s="117"/>
      <c r="AU6" s="37">
        <f>AT6+AU5</f>
        <v>0</v>
      </c>
      <c r="AV6" s="51" t="e">
        <f t="shared" si="12"/>
        <v>#DIV/0!</v>
      </c>
      <c r="AW6" s="117"/>
      <c r="AX6" s="37">
        <f>AW6+AX5</f>
        <v>0</v>
      </c>
      <c r="AY6" s="51" t="e">
        <f t="shared" si="13"/>
        <v>#DIV/0!</v>
      </c>
      <c r="AZ6" s="118"/>
      <c r="BA6" s="37">
        <f t="shared" ref="BA6:BA34" si="37">AZ6+BA5</f>
        <v>0</v>
      </c>
      <c r="BB6" s="51" t="e">
        <f t="shared" si="14"/>
        <v>#DIV/0!</v>
      </c>
      <c r="BC6" s="118"/>
      <c r="BD6" s="37">
        <f t="shared" ref="BD6:BD34" si="38">BC6+BD5</f>
        <v>0</v>
      </c>
      <c r="BE6" s="51" t="e">
        <f t="shared" si="15"/>
        <v>#DIV/0!</v>
      </c>
      <c r="BF6" s="118"/>
      <c r="BG6" s="37">
        <f t="shared" ref="BG6:BG34" si="39">BF6+BG5</f>
        <v>0</v>
      </c>
      <c r="BH6" s="51" t="e">
        <f t="shared" si="16"/>
        <v>#DIV/0!</v>
      </c>
    </row>
    <row r="7" spans="1:60" s="32" customFormat="1" ht="24.95" customHeight="1" thickBot="1" x14ac:dyDescent="0.4">
      <c r="A7" s="143">
        <f t="shared" si="24"/>
        <v>46116</v>
      </c>
      <c r="B7" s="144">
        <f t="shared" si="25"/>
        <v>46116</v>
      </c>
      <c r="C7" s="113">
        <v>85411</v>
      </c>
      <c r="D7" s="138">
        <f t="shared" si="26"/>
        <v>333663</v>
      </c>
      <c r="E7" s="114">
        <v>95000</v>
      </c>
      <c r="F7" s="43">
        <f t="shared" si="27"/>
        <v>380000</v>
      </c>
      <c r="G7" s="115">
        <v>100705</v>
      </c>
      <c r="H7" s="113"/>
      <c r="I7" s="43">
        <f t="shared" si="28"/>
        <v>0</v>
      </c>
      <c r="J7" s="43">
        <f t="shared" si="0"/>
        <v>-95000</v>
      </c>
      <c r="K7" s="43">
        <f t="shared" si="29"/>
        <v>-380000</v>
      </c>
      <c r="L7" s="113"/>
      <c r="M7" s="43">
        <f t="shared" si="17"/>
        <v>0</v>
      </c>
      <c r="N7" s="44">
        <f t="shared" si="1"/>
        <v>-1</v>
      </c>
      <c r="O7" s="43">
        <f t="shared" si="2"/>
        <v>-100705</v>
      </c>
      <c r="P7" s="45">
        <f t="shared" si="3"/>
        <v>-1</v>
      </c>
      <c r="Q7" s="44">
        <f t="shared" si="4"/>
        <v>-1</v>
      </c>
      <c r="R7" s="140"/>
      <c r="S7" s="172" t="e">
        <f t="shared" si="5"/>
        <v>#DIV/0!</v>
      </c>
      <c r="T7" s="177">
        <v>319</v>
      </c>
      <c r="U7" s="47">
        <f t="shared" si="30"/>
        <v>1237</v>
      </c>
      <c r="V7" s="116">
        <v>340</v>
      </c>
      <c r="W7" s="47">
        <f t="shared" si="31"/>
        <v>1360</v>
      </c>
      <c r="X7" s="115"/>
      <c r="Y7" s="46">
        <f t="shared" si="32"/>
        <v>0</v>
      </c>
      <c r="Z7" s="46">
        <f t="shared" si="33"/>
        <v>-1360</v>
      </c>
      <c r="AA7" s="46">
        <f t="shared" si="18"/>
        <v>-1237</v>
      </c>
      <c r="AB7" s="52">
        <f t="shared" si="19"/>
        <v>-1</v>
      </c>
      <c r="AC7" s="48">
        <f t="shared" si="6"/>
        <v>267.7460815047022</v>
      </c>
      <c r="AD7" s="48">
        <f t="shared" si="7"/>
        <v>279.41176470588238</v>
      </c>
      <c r="AE7" s="48" t="e">
        <f t="shared" si="8"/>
        <v>#DIV/0!</v>
      </c>
      <c r="AF7" s="48" t="e">
        <f t="shared" si="20"/>
        <v>#DIV/0!</v>
      </c>
      <c r="AG7" s="112"/>
      <c r="AH7" s="112">
        <v>88</v>
      </c>
      <c r="AI7" s="49">
        <f t="shared" si="34"/>
        <v>352</v>
      </c>
      <c r="AJ7" s="49">
        <f t="shared" si="21"/>
        <v>48</v>
      </c>
      <c r="AK7" s="112"/>
      <c r="AL7" s="112">
        <v>0</v>
      </c>
      <c r="AM7" s="49">
        <f t="shared" si="22"/>
        <v>0</v>
      </c>
      <c r="AN7" s="49">
        <f t="shared" si="35"/>
        <v>0</v>
      </c>
      <c r="AO7" s="49">
        <f t="shared" si="23"/>
        <v>-88</v>
      </c>
      <c r="AP7" s="49">
        <f t="shared" si="9"/>
        <v>4032</v>
      </c>
      <c r="AQ7" s="49">
        <f t="shared" si="36"/>
        <v>16128</v>
      </c>
      <c r="AR7" s="50">
        <f t="shared" si="10"/>
        <v>0</v>
      </c>
      <c r="AS7" s="170" t="e">
        <f t="shared" si="11"/>
        <v>#DIV/0!</v>
      </c>
      <c r="AT7" s="117"/>
      <c r="AU7" s="37">
        <f t="shared" ref="AU7:AU34" si="40">AT7+AU6</f>
        <v>0</v>
      </c>
      <c r="AV7" s="51" t="e">
        <f t="shared" si="12"/>
        <v>#DIV/0!</v>
      </c>
      <c r="AW7" s="117"/>
      <c r="AX7" s="37">
        <f>AW7+AX6</f>
        <v>0</v>
      </c>
      <c r="AY7" s="51" t="e">
        <f t="shared" si="13"/>
        <v>#DIV/0!</v>
      </c>
      <c r="AZ7" s="118"/>
      <c r="BA7" s="37">
        <f t="shared" si="37"/>
        <v>0</v>
      </c>
      <c r="BB7" s="51" t="e">
        <f t="shared" si="14"/>
        <v>#DIV/0!</v>
      </c>
      <c r="BC7" s="118"/>
      <c r="BD7" s="37">
        <f t="shared" si="38"/>
        <v>0</v>
      </c>
      <c r="BE7" s="51" t="e">
        <f t="shared" si="15"/>
        <v>#DIV/0!</v>
      </c>
      <c r="BF7" s="118"/>
      <c r="BG7" s="37">
        <f t="shared" si="39"/>
        <v>0</v>
      </c>
      <c r="BH7" s="51" t="e">
        <f t="shared" si="16"/>
        <v>#DIV/0!</v>
      </c>
    </row>
    <row r="8" spans="1:60" s="32" customFormat="1" ht="24.95" customHeight="1" thickBot="1" x14ac:dyDescent="0.4">
      <c r="A8" s="143">
        <f t="shared" si="24"/>
        <v>46117</v>
      </c>
      <c r="B8" s="144">
        <f t="shared" si="25"/>
        <v>46117</v>
      </c>
      <c r="C8" s="113">
        <v>85326</v>
      </c>
      <c r="D8" s="138">
        <f>C8+D7</f>
        <v>418989</v>
      </c>
      <c r="E8" s="114">
        <v>95000</v>
      </c>
      <c r="F8" s="43">
        <f t="shared" si="27"/>
        <v>475000</v>
      </c>
      <c r="G8" s="115">
        <v>92559</v>
      </c>
      <c r="H8" s="113"/>
      <c r="I8" s="43">
        <f t="shared" si="28"/>
        <v>0</v>
      </c>
      <c r="J8" s="43">
        <f t="shared" si="0"/>
        <v>-95000</v>
      </c>
      <c r="K8" s="43">
        <f t="shared" si="29"/>
        <v>-475000</v>
      </c>
      <c r="L8" s="113"/>
      <c r="M8" s="43">
        <f t="shared" si="17"/>
        <v>0</v>
      </c>
      <c r="N8" s="44">
        <f t="shared" si="1"/>
        <v>-1</v>
      </c>
      <c r="O8" s="43">
        <f t="shared" si="2"/>
        <v>-92559</v>
      </c>
      <c r="P8" s="45">
        <f t="shared" si="3"/>
        <v>-1</v>
      </c>
      <c r="Q8" s="44">
        <f t="shared" si="4"/>
        <v>-1</v>
      </c>
      <c r="R8" s="140"/>
      <c r="S8" s="172" t="e">
        <f t="shared" si="5"/>
        <v>#DIV/0!</v>
      </c>
      <c r="T8" s="177">
        <v>348</v>
      </c>
      <c r="U8" s="47">
        <f t="shared" si="30"/>
        <v>1585</v>
      </c>
      <c r="V8" s="116">
        <v>340</v>
      </c>
      <c r="W8" s="47">
        <f t="shared" si="31"/>
        <v>1700</v>
      </c>
      <c r="X8" s="115"/>
      <c r="Y8" s="46">
        <f t="shared" si="32"/>
        <v>0</v>
      </c>
      <c r="Z8" s="46">
        <f t="shared" si="33"/>
        <v>-1700</v>
      </c>
      <c r="AA8" s="46">
        <f t="shared" si="18"/>
        <v>-1585</v>
      </c>
      <c r="AB8" s="52">
        <f t="shared" si="19"/>
        <v>-1</v>
      </c>
      <c r="AC8" s="48">
        <f t="shared" si="6"/>
        <v>245.18965517241378</v>
      </c>
      <c r="AD8" s="48">
        <f t="shared" si="7"/>
        <v>279.41176470588238</v>
      </c>
      <c r="AE8" s="48" t="e">
        <f t="shared" si="8"/>
        <v>#DIV/0!</v>
      </c>
      <c r="AF8" s="48" t="e">
        <f t="shared" si="20"/>
        <v>#DIV/0!</v>
      </c>
      <c r="AG8" s="112"/>
      <c r="AH8" s="112">
        <v>88</v>
      </c>
      <c r="AI8" s="49">
        <f t="shared" si="34"/>
        <v>440</v>
      </c>
      <c r="AJ8" s="49">
        <f t="shared" si="21"/>
        <v>48</v>
      </c>
      <c r="AK8" s="112"/>
      <c r="AL8" s="112">
        <v>0</v>
      </c>
      <c r="AM8" s="49">
        <f t="shared" si="22"/>
        <v>0</v>
      </c>
      <c r="AN8" s="49">
        <f t="shared" si="35"/>
        <v>0</v>
      </c>
      <c r="AO8" s="49">
        <f t="shared" si="23"/>
        <v>-88</v>
      </c>
      <c r="AP8" s="49">
        <f t="shared" si="9"/>
        <v>4032</v>
      </c>
      <c r="AQ8" s="49">
        <f t="shared" si="36"/>
        <v>20160</v>
      </c>
      <c r="AR8" s="50">
        <f t="shared" si="10"/>
        <v>0</v>
      </c>
      <c r="AS8" s="170" t="e">
        <f t="shared" si="11"/>
        <v>#DIV/0!</v>
      </c>
      <c r="AT8" s="117"/>
      <c r="AU8" s="37">
        <f t="shared" si="40"/>
        <v>0</v>
      </c>
      <c r="AV8" s="51" t="e">
        <f t="shared" si="12"/>
        <v>#DIV/0!</v>
      </c>
      <c r="AW8" s="117"/>
      <c r="AX8" s="37">
        <f t="shared" ref="AX8:AX34" si="41">AW8+AX7</f>
        <v>0</v>
      </c>
      <c r="AY8" s="51" t="e">
        <f t="shared" si="13"/>
        <v>#DIV/0!</v>
      </c>
      <c r="AZ8" s="118"/>
      <c r="BA8" s="37">
        <f t="shared" si="37"/>
        <v>0</v>
      </c>
      <c r="BB8" s="51" t="e">
        <f t="shared" si="14"/>
        <v>#DIV/0!</v>
      </c>
      <c r="BC8" s="118"/>
      <c r="BD8" s="37">
        <f t="shared" si="38"/>
        <v>0</v>
      </c>
      <c r="BE8" s="51" t="e">
        <f t="shared" si="15"/>
        <v>#DIV/0!</v>
      </c>
      <c r="BF8" s="118"/>
      <c r="BG8" s="37">
        <f t="shared" si="39"/>
        <v>0</v>
      </c>
      <c r="BH8" s="51" t="e">
        <f t="shared" si="16"/>
        <v>#DIV/0!</v>
      </c>
    </row>
    <row r="9" spans="1:60" ht="24.95" customHeight="1" thickBot="1" x14ac:dyDescent="0.4">
      <c r="A9" s="143">
        <f t="shared" si="24"/>
        <v>46118</v>
      </c>
      <c r="B9" s="144">
        <f t="shared" si="25"/>
        <v>46118</v>
      </c>
      <c r="C9" s="113">
        <v>85939</v>
      </c>
      <c r="D9" s="138">
        <f t="shared" si="26"/>
        <v>504928</v>
      </c>
      <c r="E9" s="114">
        <v>95000</v>
      </c>
      <c r="F9" s="43">
        <f>E9+F8</f>
        <v>570000</v>
      </c>
      <c r="G9" s="115">
        <v>82694</v>
      </c>
      <c r="H9" s="113"/>
      <c r="I9" s="43">
        <f t="shared" si="28"/>
        <v>0</v>
      </c>
      <c r="J9" s="43">
        <f t="shared" si="0"/>
        <v>-95000</v>
      </c>
      <c r="K9" s="43">
        <f t="shared" si="29"/>
        <v>-570000</v>
      </c>
      <c r="L9" s="113"/>
      <c r="M9" s="43">
        <f t="shared" si="17"/>
        <v>0</v>
      </c>
      <c r="N9" s="44">
        <f t="shared" si="1"/>
        <v>-1</v>
      </c>
      <c r="O9" s="43">
        <f t="shared" si="2"/>
        <v>-82694</v>
      </c>
      <c r="P9" s="45">
        <f t="shared" si="3"/>
        <v>-1</v>
      </c>
      <c r="Q9" s="44">
        <f t="shared" si="4"/>
        <v>-1</v>
      </c>
      <c r="R9" s="140"/>
      <c r="S9" s="172" t="e">
        <f t="shared" si="5"/>
        <v>#DIV/0!</v>
      </c>
      <c r="T9" s="177">
        <v>325</v>
      </c>
      <c r="U9" s="47">
        <f t="shared" si="30"/>
        <v>1910</v>
      </c>
      <c r="V9" s="116">
        <v>340</v>
      </c>
      <c r="W9" s="47">
        <f t="shared" si="31"/>
        <v>2040</v>
      </c>
      <c r="X9" s="115"/>
      <c r="Y9" s="46">
        <f t="shared" si="32"/>
        <v>0</v>
      </c>
      <c r="Z9" s="46">
        <f t="shared" si="33"/>
        <v>-2040</v>
      </c>
      <c r="AA9" s="46">
        <f t="shared" si="18"/>
        <v>-1910</v>
      </c>
      <c r="AB9" s="52">
        <f t="shared" si="19"/>
        <v>-1</v>
      </c>
      <c r="AC9" s="48">
        <f t="shared" si="6"/>
        <v>264.42769230769233</v>
      </c>
      <c r="AD9" s="48">
        <f t="shared" si="7"/>
        <v>279.41176470588238</v>
      </c>
      <c r="AE9" s="48" t="e">
        <f t="shared" si="8"/>
        <v>#DIV/0!</v>
      </c>
      <c r="AF9" s="48" t="e">
        <f t="shared" si="20"/>
        <v>#DIV/0!</v>
      </c>
      <c r="AG9" s="112"/>
      <c r="AH9" s="112">
        <v>88</v>
      </c>
      <c r="AI9" s="49">
        <f t="shared" si="34"/>
        <v>528</v>
      </c>
      <c r="AJ9" s="49">
        <f t="shared" si="21"/>
        <v>48</v>
      </c>
      <c r="AK9" s="112"/>
      <c r="AL9" s="112"/>
      <c r="AM9" s="49">
        <f t="shared" si="22"/>
        <v>0</v>
      </c>
      <c r="AN9" s="49">
        <f t="shared" si="35"/>
        <v>0</v>
      </c>
      <c r="AO9" s="49">
        <f t="shared" si="23"/>
        <v>-88</v>
      </c>
      <c r="AP9" s="49">
        <f t="shared" si="9"/>
        <v>4032</v>
      </c>
      <c r="AQ9" s="49">
        <f t="shared" si="36"/>
        <v>24192</v>
      </c>
      <c r="AR9" s="50">
        <f t="shared" si="10"/>
        <v>0</v>
      </c>
      <c r="AS9" s="170" t="e">
        <f t="shared" si="11"/>
        <v>#DIV/0!</v>
      </c>
      <c r="AT9" s="117"/>
      <c r="AU9" s="37">
        <f t="shared" si="40"/>
        <v>0</v>
      </c>
      <c r="AV9" s="51" t="e">
        <f t="shared" si="12"/>
        <v>#DIV/0!</v>
      </c>
      <c r="AW9" s="117"/>
      <c r="AX9" s="37">
        <f t="shared" si="41"/>
        <v>0</v>
      </c>
      <c r="AY9" s="51" t="e">
        <f t="shared" si="13"/>
        <v>#DIV/0!</v>
      </c>
      <c r="AZ9" s="118"/>
      <c r="BA9" s="37">
        <f t="shared" si="37"/>
        <v>0</v>
      </c>
      <c r="BB9" s="51" t="e">
        <f t="shared" si="14"/>
        <v>#DIV/0!</v>
      </c>
      <c r="BC9" s="118"/>
      <c r="BD9" s="37">
        <f t="shared" si="38"/>
        <v>0</v>
      </c>
      <c r="BE9" s="51" t="e">
        <f t="shared" si="15"/>
        <v>#DIV/0!</v>
      </c>
      <c r="BF9" s="118"/>
      <c r="BG9" s="37">
        <f t="shared" si="39"/>
        <v>0</v>
      </c>
      <c r="BH9" s="51" t="e">
        <f t="shared" si="16"/>
        <v>#DIV/0!</v>
      </c>
    </row>
    <row r="10" spans="1:60" ht="24.95" customHeight="1" thickBot="1" x14ac:dyDescent="0.4">
      <c r="A10" s="143">
        <f t="shared" si="24"/>
        <v>46119</v>
      </c>
      <c r="B10" s="144">
        <f t="shared" si="25"/>
        <v>46119</v>
      </c>
      <c r="C10" s="113">
        <v>81209</v>
      </c>
      <c r="D10" s="138">
        <f t="shared" si="26"/>
        <v>586137</v>
      </c>
      <c r="E10" s="114">
        <v>95000</v>
      </c>
      <c r="F10" s="43">
        <f t="shared" si="27"/>
        <v>665000</v>
      </c>
      <c r="G10" s="115">
        <v>81857</v>
      </c>
      <c r="H10" s="113"/>
      <c r="I10" s="43">
        <f t="shared" si="28"/>
        <v>0</v>
      </c>
      <c r="J10" s="43">
        <f t="shared" si="0"/>
        <v>-95000</v>
      </c>
      <c r="K10" s="43">
        <f t="shared" si="29"/>
        <v>-665000</v>
      </c>
      <c r="L10" s="113"/>
      <c r="M10" s="43">
        <f t="shared" si="17"/>
        <v>0</v>
      </c>
      <c r="N10" s="44">
        <f t="shared" si="1"/>
        <v>-1</v>
      </c>
      <c r="O10" s="43">
        <f t="shared" si="2"/>
        <v>-81857</v>
      </c>
      <c r="P10" s="45">
        <f t="shared" si="3"/>
        <v>-1</v>
      </c>
      <c r="Q10" s="44">
        <f t="shared" si="4"/>
        <v>-1</v>
      </c>
      <c r="R10" s="140"/>
      <c r="S10" s="172" t="e">
        <f t="shared" si="5"/>
        <v>#DIV/0!</v>
      </c>
      <c r="T10" s="177">
        <v>306</v>
      </c>
      <c r="U10" s="47">
        <f t="shared" si="30"/>
        <v>2216</v>
      </c>
      <c r="V10" s="116">
        <v>340</v>
      </c>
      <c r="W10" s="47">
        <f t="shared" si="31"/>
        <v>2380</v>
      </c>
      <c r="X10" s="115"/>
      <c r="Y10" s="46">
        <f t="shared" si="32"/>
        <v>0</v>
      </c>
      <c r="Z10" s="46">
        <f t="shared" si="33"/>
        <v>-2380</v>
      </c>
      <c r="AA10" s="46">
        <f t="shared" si="18"/>
        <v>-2216</v>
      </c>
      <c r="AB10" s="52">
        <f t="shared" si="19"/>
        <v>-1</v>
      </c>
      <c r="AC10" s="48">
        <f t="shared" si="6"/>
        <v>265.38888888888891</v>
      </c>
      <c r="AD10" s="48">
        <f t="shared" si="7"/>
        <v>279.41176470588238</v>
      </c>
      <c r="AE10" s="48" t="e">
        <f t="shared" si="8"/>
        <v>#DIV/0!</v>
      </c>
      <c r="AF10" s="48" t="e">
        <f t="shared" si="20"/>
        <v>#DIV/0!</v>
      </c>
      <c r="AG10" s="112"/>
      <c r="AH10" s="112">
        <v>88</v>
      </c>
      <c r="AI10" s="49">
        <f t="shared" si="34"/>
        <v>616</v>
      </c>
      <c r="AJ10" s="49">
        <f t="shared" si="21"/>
        <v>48</v>
      </c>
      <c r="AK10" s="112"/>
      <c r="AL10" s="112">
        <v>0</v>
      </c>
      <c r="AM10" s="49">
        <f t="shared" si="22"/>
        <v>0</v>
      </c>
      <c r="AN10" s="49">
        <f t="shared" si="35"/>
        <v>0</v>
      </c>
      <c r="AO10" s="49">
        <f t="shared" si="23"/>
        <v>-88</v>
      </c>
      <c r="AP10" s="49">
        <f t="shared" si="9"/>
        <v>4032</v>
      </c>
      <c r="AQ10" s="49">
        <f t="shared" si="36"/>
        <v>28224</v>
      </c>
      <c r="AR10" s="50">
        <f t="shared" si="10"/>
        <v>0</v>
      </c>
      <c r="AS10" s="170" t="e">
        <f t="shared" si="11"/>
        <v>#DIV/0!</v>
      </c>
      <c r="AT10" s="117"/>
      <c r="AU10" s="37">
        <f t="shared" si="40"/>
        <v>0</v>
      </c>
      <c r="AV10" s="51" t="e">
        <f t="shared" si="12"/>
        <v>#DIV/0!</v>
      </c>
      <c r="AW10" s="117"/>
      <c r="AX10" s="37">
        <f t="shared" si="41"/>
        <v>0</v>
      </c>
      <c r="AY10" s="51" t="e">
        <f t="shared" si="13"/>
        <v>#DIV/0!</v>
      </c>
      <c r="AZ10" s="118"/>
      <c r="BA10" s="37">
        <f t="shared" si="37"/>
        <v>0</v>
      </c>
      <c r="BB10" s="51" t="e">
        <f t="shared" si="14"/>
        <v>#DIV/0!</v>
      </c>
      <c r="BC10" s="118"/>
      <c r="BD10" s="37">
        <f t="shared" si="38"/>
        <v>0</v>
      </c>
      <c r="BE10" s="51" t="e">
        <f t="shared" si="15"/>
        <v>#DIV/0!</v>
      </c>
      <c r="BF10" s="118"/>
      <c r="BG10" s="37">
        <f t="shared" si="39"/>
        <v>0</v>
      </c>
      <c r="BH10" s="51" t="e">
        <f t="shared" si="16"/>
        <v>#DIV/0!</v>
      </c>
    </row>
    <row r="11" spans="1:60" ht="24.95" customHeight="1" thickBot="1" x14ac:dyDescent="0.4">
      <c r="A11" s="143">
        <f t="shared" si="24"/>
        <v>46120</v>
      </c>
      <c r="B11" s="144">
        <f t="shared" si="25"/>
        <v>46120</v>
      </c>
      <c r="C11" s="113">
        <v>67228</v>
      </c>
      <c r="D11" s="138">
        <f t="shared" si="26"/>
        <v>653365</v>
      </c>
      <c r="E11" s="114">
        <v>95000</v>
      </c>
      <c r="F11" s="43">
        <f t="shared" si="27"/>
        <v>760000</v>
      </c>
      <c r="G11" s="115">
        <v>84739</v>
      </c>
      <c r="H11" s="113"/>
      <c r="I11" s="43">
        <f t="shared" si="28"/>
        <v>0</v>
      </c>
      <c r="J11" s="43">
        <f t="shared" si="0"/>
        <v>-95000</v>
      </c>
      <c r="K11" s="43">
        <f t="shared" si="29"/>
        <v>-760000</v>
      </c>
      <c r="L11" s="113"/>
      <c r="M11" s="43">
        <f t="shared" si="17"/>
        <v>0</v>
      </c>
      <c r="N11" s="44">
        <f t="shared" si="1"/>
        <v>-1</v>
      </c>
      <c r="O11" s="43">
        <f t="shared" si="2"/>
        <v>-84739</v>
      </c>
      <c r="P11" s="45">
        <f t="shared" si="3"/>
        <v>-1</v>
      </c>
      <c r="Q11" s="44">
        <f t="shared" si="4"/>
        <v>-1</v>
      </c>
      <c r="R11" s="140"/>
      <c r="S11" s="172" t="e">
        <f t="shared" si="5"/>
        <v>#DIV/0!</v>
      </c>
      <c r="T11" s="177">
        <v>266</v>
      </c>
      <c r="U11" s="47">
        <f t="shared" si="30"/>
        <v>2482</v>
      </c>
      <c r="V11" s="116">
        <v>340</v>
      </c>
      <c r="W11" s="47">
        <f t="shared" si="31"/>
        <v>2720</v>
      </c>
      <c r="X11" s="115"/>
      <c r="Y11" s="46">
        <f t="shared" si="32"/>
        <v>0</v>
      </c>
      <c r="Z11" s="46">
        <f t="shared" si="33"/>
        <v>-2720</v>
      </c>
      <c r="AA11" s="46">
        <f t="shared" si="18"/>
        <v>-2482</v>
      </c>
      <c r="AB11" s="52">
        <f t="shared" si="19"/>
        <v>-1</v>
      </c>
      <c r="AC11" s="48">
        <f t="shared" si="6"/>
        <v>252.73684210526315</v>
      </c>
      <c r="AD11" s="48">
        <f t="shared" si="7"/>
        <v>279.41176470588238</v>
      </c>
      <c r="AE11" s="48" t="e">
        <f t="shared" si="8"/>
        <v>#DIV/0!</v>
      </c>
      <c r="AF11" s="48" t="e">
        <f t="shared" si="20"/>
        <v>#DIV/0!</v>
      </c>
      <c r="AG11" s="112"/>
      <c r="AH11" s="112">
        <v>88</v>
      </c>
      <c r="AI11" s="49">
        <f t="shared" si="34"/>
        <v>704</v>
      </c>
      <c r="AJ11" s="49">
        <f t="shared" si="21"/>
        <v>48</v>
      </c>
      <c r="AK11" s="112"/>
      <c r="AL11" s="112">
        <v>0</v>
      </c>
      <c r="AM11" s="49">
        <f t="shared" si="22"/>
        <v>0</v>
      </c>
      <c r="AN11" s="49">
        <f t="shared" si="35"/>
        <v>0</v>
      </c>
      <c r="AO11" s="49">
        <f t="shared" si="23"/>
        <v>-88</v>
      </c>
      <c r="AP11" s="49">
        <f t="shared" si="9"/>
        <v>4032</v>
      </c>
      <c r="AQ11" s="49">
        <f t="shared" si="36"/>
        <v>32256</v>
      </c>
      <c r="AR11" s="50">
        <f t="shared" si="10"/>
        <v>0</v>
      </c>
      <c r="AS11" s="170" t="e">
        <f t="shared" si="11"/>
        <v>#DIV/0!</v>
      </c>
      <c r="AT11" s="117"/>
      <c r="AU11" s="37">
        <f t="shared" si="40"/>
        <v>0</v>
      </c>
      <c r="AV11" s="51" t="e">
        <f t="shared" si="12"/>
        <v>#DIV/0!</v>
      </c>
      <c r="AW11" s="117"/>
      <c r="AX11" s="37">
        <f t="shared" si="41"/>
        <v>0</v>
      </c>
      <c r="AY11" s="51" t="e">
        <f t="shared" si="13"/>
        <v>#DIV/0!</v>
      </c>
      <c r="AZ11" s="118"/>
      <c r="BA11" s="37">
        <f t="shared" si="37"/>
        <v>0</v>
      </c>
      <c r="BB11" s="51" t="e">
        <f t="shared" si="14"/>
        <v>#DIV/0!</v>
      </c>
      <c r="BC11" s="118"/>
      <c r="BD11" s="37">
        <f t="shared" si="38"/>
        <v>0</v>
      </c>
      <c r="BE11" s="51" t="e">
        <f t="shared" si="15"/>
        <v>#DIV/0!</v>
      </c>
      <c r="BF11" s="118"/>
      <c r="BG11" s="37">
        <f t="shared" si="39"/>
        <v>0</v>
      </c>
      <c r="BH11" s="51" t="e">
        <f t="shared" si="16"/>
        <v>#DIV/0!</v>
      </c>
    </row>
    <row r="12" spans="1:60" ht="24.95" customHeight="1" thickBot="1" x14ac:dyDescent="0.4">
      <c r="A12" s="143">
        <f t="shared" si="24"/>
        <v>46121</v>
      </c>
      <c r="B12" s="144">
        <f t="shared" si="25"/>
        <v>46121</v>
      </c>
      <c r="C12" s="112">
        <v>71444</v>
      </c>
      <c r="D12" s="138">
        <f t="shared" si="26"/>
        <v>724809</v>
      </c>
      <c r="E12" s="114">
        <v>95000</v>
      </c>
      <c r="F12" s="43">
        <f t="shared" si="27"/>
        <v>855000</v>
      </c>
      <c r="G12" s="115">
        <v>86892</v>
      </c>
      <c r="H12" s="112"/>
      <c r="I12" s="43">
        <f t="shared" si="28"/>
        <v>0</v>
      </c>
      <c r="J12" s="43">
        <f t="shared" si="0"/>
        <v>-95000</v>
      </c>
      <c r="K12" s="43">
        <f t="shared" si="29"/>
        <v>-855000</v>
      </c>
      <c r="L12" s="113"/>
      <c r="M12" s="43">
        <f t="shared" si="17"/>
        <v>0</v>
      </c>
      <c r="N12" s="44">
        <f t="shared" si="1"/>
        <v>-1</v>
      </c>
      <c r="O12" s="43">
        <f t="shared" si="2"/>
        <v>-86892</v>
      </c>
      <c r="P12" s="45">
        <f t="shared" si="3"/>
        <v>-1</v>
      </c>
      <c r="Q12" s="44">
        <f t="shared" si="4"/>
        <v>-1</v>
      </c>
      <c r="R12" s="140"/>
      <c r="S12" s="172" t="e">
        <f t="shared" si="5"/>
        <v>#DIV/0!</v>
      </c>
      <c r="T12" s="178">
        <v>282</v>
      </c>
      <c r="U12" s="47">
        <f t="shared" si="30"/>
        <v>2764</v>
      </c>
      <c r="V12" s="116">
        <v>340</v>
      </c>
      <c r="W12" s="47">
        <f t="shared" si="31"/>
        <v>3060</v>
      </c>
      <c r="X12" s="115"/>
      <c r="Y12" s="46">
        <f t="shared" si="32"/>
        <v>0</v>
      </c>
      <c r="Z12" s="46">
        <f t="shared" si="33"/>
        <v>-3060</v>
      </c>
      <c r="AA12" s="46">
        <f t="shared" si="18"/>
        <v>-2764</v>
      </c>
      <c r="AB12" s="52">
        <f t="shared" si="19"/>
        <v>-1</v>
      </c>
      <c r="AC12" s="48">
        <f t="shared" si="6"/>
        <v>253.34751773049646</v>
      </c>
      <c r="AD12" s="48">
        <f t="shared" si="7"/>
        <v>279.41176470588238</v>
      </c>
      <c r="AE12" s="48" t="e">
        <f t="shared" si="8"/>
        <v>#DIV/0!</v>
      </c>
      <c r="AF12" s="48" t="e">
        <f t="shared" si="20"/>
        <v>#DIV/0!</v>
      </c>
      <c r="AG12" s="112"/>
      <c r="AH12" s="112">
        <v>88</v>
      </c>
      <c r="AI12" s="49">
        <f t="shared" si="34"/>
        <v>792</v>
      </c>
      <c r="AJ12" s="49">
        <f t="shared" si="21"/>
        <v>48</v>
      </c>
      <c r="AK12" s="112"/>
      <c r="AL12" s="112">
        <v>0</v>
      </c>
      <c r="AM12" s="49">
        <f t="shared" si="22"/>
        <v>0</v>
      </c>
      <c r="AN12" s="49">
        <f t="shared" si="35"/>
        <v>0</v>
      </c>
      <c r="AO12" s="49">
        <f t="shared" si="23"/>
        <v>-88</v>
      </c>
      <c r="AP12" s="49">
        <f t="shared" si="9"/>
        <v>4032</v>
      </c>
      <c r="AQ12" s="49">
        <f t="shared" si="36"/>
        <v>36288</v>
      </c>
      <c r="AR12" s="50">
        <f t="shared" si="10"/>
        <v>0</v>
      </c>
      <c r="AS12" s="170" t="e">
        <f t="shared" si="11"/>
        <v>#DIV/0!</v>
      </c>
      <c r="AT12" s="117"/>
      <c r="AU12" s="37">
        <f t="shared" si="40"/>
        <v>0</v>
      </c>
      <c r="AV12" s="51" t="e">
        <f t="shared" si="12"/>
        <v>#DIV/0!</v>
      </c>
      <c r="AW12" s="117"/>
      <c r="AX12" s="37">
        <f t="shared" si="41"/>
        <v>0</v>
      </c>
      <c r="AY12" s="51" t="e">
        <f t="shared" si="13"/>
        <v>#DIV/0!</v>
      </c>
      <c r="AZ12" s="118"/>
      <c r="BA12" s="37">
        <f t="shared" si="37"/>
        <v>0</v>
      </c>
      <c r="BB12" s="51" t="e">
        <f t="shared" si="14"/>
        <v>#DIV/0!</v>
      </c>
      <c r="BC12" s="118"/>
      <c r="BD12" s="37">
        <f t="shared" si="38"/>
        <v>0</v>
      </c>
      <c r="BE12" s="51" t="e">
        <f t="shared" si="15"/>
        <v>#DIV/0!</v>
      </c>
      <c r="BF12" s="118"/>
      <c r="BG12" s="37">
        <f t="shared" si="39"/>
        <v>0</v>
      </c>
      <c r="BH12" s="51" t="e">
        <f t="shared" si="16"/>
        <v>#DIV/0!</v>
      </c>
    </row>
    <row r="13" spans="1:60" ht="24.95" customHeight="1" thickBot="1" x14ac:dyDescent="0.4">
      <c r="A13" s="143">
        <f t="shared" si="24"/>
        <v>46122</v>
      </c>
      <c r="B13" s="144">
        <f t="shared" si="25"/>
        <v>46122</v>
      </c>
      <c r="C13" s="112">
        <v>66534</v>
      </c>
      <c r="D13" s="138">
        <f t="shared" si="26"/>
        <v>791343</v>
      </c>
      <c r="E13" s="114">
        <v>95000</v>
      </c>
      <c r="F13" s="43">
        <f t="shared" si="27"/>
        <v>950000</v>
      </c>
      <c r="G13" s="115">
        <v>93274</v>
      </c>
      <c r="H13" s="112"/>
      <c r="I13" s="43">
        <f t="shared" si="28"/>
        <v>0</v>
      </c>
      <c r="J13" s="43">
        <f t="shared" si="0"/>
        <v>-95000</v>
      </c>
      <c r="K13" s="43">
        <f t="shared" si="29"/>
        <v>-950000</v>
      </c>
      <c r="L13" s="113"/>
      <c r="M13" s="43">
        <f t="shared" si="17"/>
        <v>0</v>
      </c>
      <c r="N13" s="44">
        <f t="shared" si="1"/>
        <v>-1</v>
      </c>
      <c r="O13" s="43">
        <f t="shared" si="2"/>
        <v>-93274</v>
      </c>
      <c r="P13" s="45">
        <f t="shared" si="3"/>
        <v>-1</v>
      </c>
      <c r="Q13" s="44">
        <f t="shared" si="4"/>
        <v>-1</v>
      </c>
      <c r="R13" s="140"/>
      <c r="S13" s="172" t="e">
        <f t="shared" si="5"/>
        <v>#DIV/0!</v>
      </c>
      <c r="T13" s="179">
        <v>267</v>
      </c>
      <c r="U13" s="47">
        <f t="shared" si="30"/>
        <v>3031</v>
      </c>
      <c r="V13" s="116">
        <v>340</v>
      </c>
      <c r="W13" s="47">
        <f t="shared" si="31"/>
        <v>3400</v>
      </c>
      <c r="X13" s="115"/>
      <c r="Y13" s="46">
        <f t="shared" si="32"/>
        <v>0</v>
      </c>
      <c r="Z13" s="46">
        <f t="shared" si="33"/>
        <v>-3400</v>
      </c>
      <c r="AA13" s="46">
        <f t="shared" si="18"/>
        <v>-3031</v>
      </c>
      <c r="AB13" s="52">
        <f t="shared" si="19"/>
        <v>-1</v>
      </c>
      <c r="AC13" s="48">
        <f t="shared" si="6"/>
        <v>249.19101123595505</v>
      </c>
      <c r="AD13" s="48">
        <f t="shared" si="7"/>
        <v>279.41176470588238</v>
      </c>
      <c r="AE13" s="48" t="e">
        <f t="shared" si="8"/>
        <v>#DIV/0!</v>
      </c>
      <c r="AF13" s="48" t="e">
        <f t="shared" si="20"/>
        <v>#DIV/0!</v>
      </c>
      <c r="AG13" s="112"/>
      <c r="AH13" s="112">
        <v>88</v>
      </c>
      <c r="AI13" s="49">
        <f t="shared" si="34"/>
        <v>880</v>
      </c>
      <c r="AJ13" s="49">
        <f t="shared" si="21"/>
        <v>48</v>
      </c>
      <c r="AK13" s="112"/>
      <c r="AL13" s="112">
        <v>0</v>
      </c>
      <c r="AM13" s="49">
        <f t="shared" si="22"/>
        <v>0</v>
      </c>
      <c r="AN13" s="49">
        <f t="shared" si="35"/>
        <v>0</v>
      </c>
      <c r="AO13" s="49">
        <f t="shared" si="23"/>
        <v>-88</v>
      </c>
      <c r="AP13" s="49">
        <f t="shared" si="9"/>
        <v>4032</v>
      </c>
      <c r="AQ13" s="49">
        <f t="shared" si="36"/>
        <v>40320</v>
      </c>
      <c r="AR13" s="50">
        <f t="shared" si="10"/>
        <v>0</v>
      </c>
      <c r="AS13" s="170" t="e">
        <f t="shared" si="11"/>
        <v>#DIV/0!</v>
      </c>
      <c r="AT13" s="117"/>
      <c r="AU13" s="37">
        <f t="shared" si="40"/>
        <v>0</v>
      </c>
      <c r="AV13" s="51" t="e">
        <f t="shared" si="12"/>
        <v>#DIV/0!</v>
      </c>
      <c r="AW13" s="117"/>
      <c r="AX13" s="37">
        <f t="shared" si="41"/>
        <v>0</v>
      </c>
      <c r="AY13" s="51" t="e">
        <f t="shared" si="13"/>
        <v>#DIV/0!</v>
      </c>
      <c r="AZ13" s="118"/>
      <c r="BA13" s="37">
        <f t="shared" si="37"/>
        <v>0</v>
      </c>
      <c r="BB13" s="51" t="e">
        <f t="shared" si="14"/>
        <v>#DIV/0!</v>
      </c>
      <c r="BC13" s="118"/>
      <c r="BD13" s="37">
        <f t="shared" si="38"/>
        <v>0</v>
      </c>
      <c r="BE13" s="51" t="e">
        <f t="shared" si="15"/>
        <v>#DIV/0!</v>
      </c>
      <c r="BF13" s="118"/>
      <c r="BG13" s="37">
        <f t="shared" si="39"/>
        <v>0</v>
      </c>
      <c r="BH13" s="51" t="e">
        <f t="shared" si="16"/>
        <v>#DIV/0!</v>
      </c>
    </row>
    <row r="14" spans="1:60" s="32" customFormat="1" ht="24.95" customHeight="1" thickBot="1" x14ac:dyDescent="0.4">
      <c r="A14" s="143">
        <f t="shared" si="24"/>
        <v>46123</v>
      </c>
      <c r="B14" s="144">
        <f t="shared" si="25"/>
        <v>46123</v>
      </c>
      <c r="C14" s="112">
        <v>91925</v>
      </c>
      <c r="D14" s="138">
        <f t="shared" si="26"/>
        <v>883268</v>
      </c>
      <c r="E14" s="114">
        <v>95000</v>
      </c>
      <c r="F14" s="43">
        <f t="shared" si="27"/>
        <v>1045000</v>
      </c>
      <c r="G14" s="115">
        <v>100705</v>
      </c>
      <c r="H14" s="112"/>
      <c r="I14" s="43">
        <f t="shared" si="28"/>
        <v>0</v>
      </c>
      <c r="J14" s="43">
        <f t="shared" si="0"/>
        <v>-95000</v>
      </c>
      <c r="K14" s="43">
        <f t="shared" si="29"/>
        <v>-1045000</v>
      </c>
      <c r="L14" s="113"/>
      <c r="M14" s="43">
        <f t="shared" si="17"/>
        <v>0</v>
      </c>
      <c r="N14" s="44">
        <f t="shared" si="1"/>
        <v>-1</v>
      </c>
      <c r="O14" s="43">
        <f t="shared" si="2"/>
        <v>-100705</v>
      </c>
      <c r="P14" s="45">
        <f t="shared" si="3"/>
        <v>-1</v>
      </c>
      <c r="Q14" s="44">
        <f t="shared" si="4"/>
        <v>-1</v>
      </c>
      <c r="R14" s="140"/>
      <c r="S14" s="172" t="e">
        <f t="shared" si="5"/>
        <v>#DIV/0!</v>
      </c>
      <c r="T14" s="179">
        <v>332</v>
      </c>
      <c r="U14" s="47">
        <f t="shared" si="30"/>
        <v>3363</v>
      </c>
      <c r="V14" s="116">
        <v>340</v>
      </c>
      <c r="W14" s="47">
        <f t="shared" si="31"/>
        <v>3740</v>
      </c>
      <c r="X14" s="115"/>
      <c r="Y14" s="46">
        <f t="shared" si="32"/>
        <v>0</v>
      </c>
      <c r="Z14" s="46">
        <f t="shared" si="33"/>
        <v>-3740</v>
      </c>
      <c r="AA14" s="46">
        <f t="shared" si="18"/>
        <v>-3363</v>
      </c>
      <c r="AB14" s="52">
        <f t="shared" si="19"/>
        <v>-1</v>
      </c>
      <c r="AC14" s="48">
        <f t="shared" si="6"/>
        <v>276.88253012048193</v>
      </c>
      <c r="AD14" s="48">
        <f t="shared" si="7"/>
        <v>279.41176470588238</v>
      </c>
      <c r="AE14" s="48" t="e">
        <f t="shared" si="8"/>
        <v>#DIV/0!</v>
      </c>
      <c r="AF14" s="48" t="e">
        <f t="shared" si="20"/>
        <v>#DIV/0!</v>
      </c>
      <c r="AG14" s="112"/>
      <c r="AH14" s="112">
        <v>88</v>
      </c>
      <c r="AI14" s="49">
        <f t="shared" si="34"/>
        <v>968</v>
      </c>
      <c r="AJ14" s="49">
        <f t="shared" si="21"/>
        <v>48</v>
      </c>
      <c r="AK14" s="112"/>
      <c r="AL14" s="112">
        <v>0</v>
      </c>
      <c r="AM14" s="49">
        <f t="shared" si="22"/>
        <v>0</v>
      </c>
      <c r="AN14" s="49">
        <f t="shared" si="35"/>
        <v>0</v>
      </c>
      <c r="AO14" s="49">
        <f t="shared" si="23"/>
        <v>-88</v>
      </c>
      <c r="AP14" s="49">
        <f t="shared" si="9"/>
        <v>4032</v>
      </c>
      <c r="AQ14" s="49">
        <f t="shared" si="36"/>
        <v>44352</v>
      </c>
      <c r="AR14" s="50">
        <f t="shared" si="10"/>
        <v>0</v>
      </c>
      <c r="AS14" s="170" t="e">
        <f t="shared" si="11"/>
        <v>#DIV/0!</v>
      </c>
      <c r="AT14" s="117"/>
      <c r="AU14" s="37">
        <f t="shared" si="40"/>
        <v>0</v>
      </c>
      <c r="AV14" s="51" t="e">
        <f t="shared" si="12"/>
        <v>#DIV/0!</v>
      </c>
      <c r="AW14" s="117"/>
      <c r="AX14" s="37">
        <f t="shared" si="41"/>
        <v>0</v>
      </c>
      <c r="AY14" s="51" t="e">
        <f t="shared" si="13"/>
        <v>#DIV/0!</v>
      </c>
      <c r="AZ14" s="118"/>
      <c r="BA14" s="37">
        <f t="shared" si="37"/>
        <v>0</v>
      </c>
      <c r="BB14" s="51" t="e">
        <f t="shared" si="14"/>
        <v>#DIV/0!</v>
      </c>
      <c r="BC14" s="118"/>
      <c r="BD14" s="37">
        <f t="shared" si="38"/>
        <v>0</v>
      </c>
      <c r="BE14" s="51" t="e">
        <f t="shared" si="15"/>
        <v>#DIV/0!</v>
      </c>
      <c r="BF14" s="118"/>
      <c r="BG14" s="37">
        <f t="shared" si="39"/>
        <v>0</v>
      </c>
      <c r="BH14" s="51" t="e">
        <f t="shared" si="16"/>
        <v>#DIV/0!</v>
      </c>
    </row>
    <row r="15" spans="1:60" s="32" customFormat="1" ht="24.95" customHeight="1" thickBot="1" x14ac:dyDescent="0.4">
      <c r="A15" s="143">
        <f t="shared" si="24"/>
        <v>46124</v>
      </c>
      <c r="B15" s="144">
        <f t="shared" si="25"/>
        <v>46124</v>
      </c>
      <c r="C15" s="112">
        <v>96973</v>
      </c>
      <c r="D15" s="138">
        <f t="shared" si="26"/>
        <v>980241</v>
      </c>
      <c r="E15" s="114">
        <v>95000</v>
      </c>
      <c r="F15" s="43">
        <f t="shared" si="27"/>
        <v>1140000</v>
      </c>
      <c r="G15" s="115">
        <v>89463</v>
      </c>
      <c r="H15" s="112"/>
      <c r="I15" s="43">
        <f t="shared" si="28"/>
        <v>0</v>
      </c>
      <c r="J15" s="43">
        <f t="shared" si="0"/>
        <v>-95000</v>
      </c>
      <c r="K15" s="43">
        <f t="shared" si="29"/>
        <v>-1140000</v>
      </c>
      <c r="L15" s="113"/>
      <c r="M15" s="43">
        <f t="shared" si="17"/>
        <v>0</v>
      </c>
      <c r="N15" s="44">
        <f t="shared" si="1"/>
        <v>-1</v>
      </c>
      <c r="O15" s="43">
        <f t="shared" si="2"/>
        <v>-89463</v>
      </c>
      <c r="P15" s="45">
        <f t="shared" si="3"/>
        <v>-1</v>
      </c>
      <c r="Q15" s="44">
        <f t="shared" si="4"/>
        <v>-1</v>
      </c>
      <c r="R15" s="140"/>
      <c r="S15" s="172" t="e">
        <f t="shared" si="5"/>
        <v>#DIV/0!</v>
      </c>
      <c r="T15" s="179">
        <v>375</v>
      </c>
      <c r="U15" s="47">
        <f t="shared" si="30"/>
        <v>3738</v>
      </c>
      <c r="V15" s="116">
        <v>340</v>
      </c>
      <c r="W15" s="47">
        <f t="shared" si="31"/>
        <v>4080</v>
      </c>
      <c r="X15" s="115"/>
      <c r="Y15" s="46">
        <f t="shared" si="32"/>
        <v>0</v>
      </c>
      <c r="Z15" s="46">
        <f t="shared" si="33"/>
        <v>-4080</v>
      </c>
      <c r="AA15" s="46">
        <f t="shared" si="18"/>
        <v>-3738</v>
      </c>
      <c r="AB15" s="52">
        <f t="shared" si="19"/>
        <v>-1</v>
      </c>
      <c r="AC15" s="48">
        <f t="shared" si="6"/>
        <v>258.59466666666668</v>
      </c>
      <c r="AD15" s="48">
        <f t="shared" si="7"/>
        <v>279.41176470588238</v>
      </c>
      <c r="AE15" s="48" t="e">
        <f t="shared" si="8"/>
        <v>#DIV/0!</v>
      </c>
      <c r="AF15" s="48" t="e">
        <f t="shared" si="20"/>
        <v>#DIV/0!</v>
      </c>
      <c r="AG15" s="112"/>
      <c r="AH15" s="112">
        <v>88</v>
      </c>
      <c r="AI15" s="49">
        <f t="shared" si="34"/>
        <v>1056</v>
      </c>
      <c r="AJ15" s="49">
        <f t="shared" si="21"/>
        <v>48</v>
      </c>
      <c r="AK15" s="112"/>
      <c r="AL15" s="112">
        <v>0</v>
      </c>
      <c r="AM15" s="49">
        <f t="shared" si="22"/>
        <v>0</v>
      </c>
      <c r="AN15" s="49">
        <f t="shared" si="35"/>
        <v>0</v>
      </c>
      <c r="AO15" s="49">
        <f t="shared" si="23"/>
        <v>-88</v>
      </c>
      <c r="AP15" s="49">
        <f t="shared" si="9"/>
        <v>4032</v>
      </c>
      <c r="AQ15" s="49">
        <f>SUM(AP15,AQ14)</f>
        <v>48384</v>
      </c>
      <c r="AR15" s="50">
        <f t="shared" si="10"/>
        <v>0</v>
      </c>
      <c r="AS15" s="170" t="e">
        <f t="shared" si="11"/>
        <v>#DIV/0!</v>
      </c>
      <c r="AT15" s="117"/>
      <c r="AU15" s="37">
        <f t="shared" si="40"/>
        <v>0</v>
      </c>
      <c r="AV15" s="51" t="e">
        <f t="shared" si="12"/>
        <v>#DIV/0!</v>
      </c>
      <c r="AW15" s="117"/>
      <c r="AX15" s="37">
        <f t="shared" si="41"/>
        <v>0</v>
      </c>
      <c r="AY15" s="51" t="e">
        <f t="shared" si="13"/>
        <v>#DIV/0!</v>
      </c>
      <c r="AZ15" s="118"/>
      <c r="BA15" s="37">
        <f t="shared" si="37"/>
        <v>0</v>
      </c>
      <c r="BB15" s="51" t="e">
        <f t="shared" si="14"/>
        <v>#DIV/0!</v>
      </c>
      <c r="BC15" s="118"/>
      <c r="BD15" s="37">
        <f t="shared" si="38"/>
        <v>0</v>
      </c>
      <c r="BE15" s="51" t="e">
        <f t="shared" si="15"/>
        <v>#DIV/0!</v>
      </c>
      <c r="BF15" s="118"/>
      <c r="BG15" s="37">
        <f t="shared" si="39"/>
        <v>0</v>
      </c>
      <c r="BH15" s="51" t="e">
        <f t="shared" si="16"/>
        <v>#DIV/0!</v>
      </c>
    </row>
    <row r="16" spans="1:60" ht="24.95" customHeight="1" thickBot="1" x14ac:dyDescent="0.4">
      <c r="A16" s="143">
        <f t="shared" si="24"/>
        <v>46125</v>
      </c>
      <c r="B16" s="144">
        <f t="shared" si="25"/>
        <v>46125</v>
      </c>
      <c r="C16" s="112">
        <v>91298</v>
      </c>
      <c r="D16" s="138">
        <f t="shared" si="26"/>
        <v>1071539</v>
      </c>
      <c r="E16" s="114">
        <v>95000</v>
      </c>
      <c r="F16" s="43">
        <f t="shared" si="27"/>
        <v>1235000</v>
      </c>
      <c r="G16" s="115">
        <v>84722</v>
      </c>
      <c r="H16" s="112"/>
      <c r="I16" s="43">
        <f t="shared" si="28"/>
        <v>0</v>
      </c>
      <c r="J16" s="43">
        <f t="shared" si="0"/>
        <v>-95000</v>
      </c>
      <c r="K16" s="43">
        <f t="shared" si="29"/>
        <v>-1235000</v>
      </c>
      <c r="L16" s="113"/>
      <c r="M16" s="43">
        <f t="shared" si="17"/>
        <v>0</v>
      </c>
      <c r="N16" s="44">
        <f t="shared" si="1"/>
        <v>-1</v>
      </c>
      <c r="O16" s="43">
        <f t="shared" si="2"/>
        <v>-84722</v>
      </c>
      <c r="P16" s="45">
        <f t="shared" si="3"/>
        <v>-1</v>
      </c>
      <c r="Q16" s="44">
        <f t="shared" si="4"/>
        <v>-1</v>
      </c>
      <c r="R16" s="140"/>
      <c r="S16" s="172" t="e">
        <f t="shared" si="5"/>
        <v>#DIV/0!</v>
      </c>
      <c r="T16" s="179">
        <v>327</v>
      </c>
      <c r="U16" s="47">
        <f t="shared" si="30"/>
        <v>4065</v>
      </c>
      <c r="V16" s="116">
        <v>340</v>
      </c>
      <c r="W16" s="47">
        <f t="shared" si="31"/>
        <v>4420</v>
      </c>
      <c r="X16" s="115"/>
      <c r="Y16" s="46">
        <f t="shared" si="32"/>
        <v>0</v>
      </c>
      <c r="Z16" s="46">
        <f t="shared" si="33"/>
        <v>-4420</v>
      </c>
      <c r="AA16" s="46">
        <f t="shared" si="18"/>
        <v>-4065</v>
      </c>
      <c r="AB16" s="52">
        <f t="shared" si="19"/>
        <v>-1</v>
      </c>
      <c r="AC16" s="48">
        <f t="shared" si="6"/>
        <v>279.19877675840979</v>
      </c>
      <c r="AD16" s="48">
        <f t="shared" si="7"/>
        <v>279.41176470588238</v>
      </c>
      <c r="AE16" s="48" t="e">
        <f t="shared" si="8"/>
        <v>#DIV/0!</v>
      </c>
      <c r="AF16" s="48" t="e">
        <f t="shared" si="20"/>
        <v>#DIV/0!</v>
      </c>
      <c r="AG16" s="112"/>
      <c r="AH16" s="112">
        <v>88</v>
      </c>
      <c r="AI16" s="49">
        <f t="shared" si="34"/>
        <v>1144</v>
      </c>
      <c r="AJ16" s="49">
        <f t="shared" si="21"/>
        <v>48</v>
      </c>
      <c r="AK16" s="112"/>
      <c r="AL16" s="112">
        <v>0</v>
      </c>
      <c r="AM16" s="49">
        <f t="shared" si="22"/>
        <v>0</v>
      </c>
      <c r="AN16" s="49">
        <f t="shared" si="35"/>
        <v>0</v>
      </c>
      <c r="AO16" s="49">
        <f t="shared" si="23"/>
        <v>-88</v>
      </c>
      <c r="AP16" s="49">
        <f t="shared" si="9"/>
        <v>4032</v>
      </c>
      <c r="AQ16" s="49">
        <f t="shared" si="36"/>
        <v>52416</v>
      </c>
      <c r="AR16" s="50">
        <f t="shared" si="10"/>
        <v>0</v>
      </c>
      <c r="AS16" s="170" t="e">
        <f t="shared" si="11"/>
        <v>#DIV/0!</v>
      </c>
      <c r="AT16" s="117"/>
      <c r="AU16" s="37">
        <f t="shared" si="40"/>
        <v>0</v>
      </c>
      <c r="AV16" s="51" t="e">
        <f t="shared" si="12"/>
        <v>#DIV/0!</v>
      </c>
      <c r="AW16" s="117"/>
      <c r="AX16" s="37">
        <f t="shared" si="41"/>
        <v>0</v>
      </c>
      <c r="AY16" s="51" t="e">
        <f t="shared" si="13"/>
        <v>#DIV/0!</v>
      </c>
      <c r="AZ16" s="118"/>
      <c r="BA16" s="37">
        <f t="shared" si="37"/>
        <v>0</v>
      </c>
      <c r="BB16" s="51" t="e">
        <f t="shared" si="14"/>
        <v>#DIV/0!</v>
      </c>
      <c r="BC16" s="118"/>
      <c r="BD16" s="37">
        <f t="shared" si="38"/>
        <v>0</v>
      </c>
      <c r="BE16" s="51" t="e">
        <f t="shared" si="15"/>
        <v>#DIV/0!</v>
      </c>
      <c r="BF16" s="118"/>
      <c r="BG16" s="37">
        <f t="shared" si="39"/>
        <v>0</v>
      </c>
      <c r="BH16" s="51" t="e">
        <f t="shared" si="16"/>
        <v>#DIV/0!</v>
      </c>
    </row>
    <row r="17" spans="1:60" ht="24.95" customHeight="1" thickBot="1" x14ac:dyDescent="0.4">
      <c r="A17" s="143">
        <f t="shared" si="24"/>
        <v>46126</v>
      </c>
      <c r="B17" s="144">
        <f t="shared" si="25"/>
        <v>46126</v>
      </c>
      <c r="C17" s="112">
        <v>98688</v>
      </c>
      <c r="D17" s="138">
        <f t="shared" si="26"/>
        <v>1170227</v>
      </c>
      <c r="E17" s="114">
        <v>95000</v>
      </c>
      <c r="F17" s="43">
        <f t="shared" si="27"/>
        <v>1330000</v>
      </c>
      <c r="G17" s="115">
        <v>81857</v>
      </c>
      <c r="H17" s="112"/>
      <c r="I17" s="43">
        <f t="shared" si="28"/>
        <v>0</v>
      </c>
      <c r="J17" s="43">
        <f t="shared" si="0"/>
        <v>-95000</v>
      </c>
      <c r="K17" s="43">
        <f t="shared" si="29"/>
        <v>-1330000</v>
      </c>
      <c r="L17" s="113"/>
      <c r="M17" s="43">
        <f t="shared" si="17"/>
        <v>0</v>
      </c>
      <c r="N17" s="44">
        <f t="shared" si="1"/>
        <v>-1</v>
      </c>
      <c r="O17" s="43">
        <f t="shared" si="2"/>
        <v>-81857</v>
      </c>
      <c r="P17" s="45">
        <f t="shared" si="3"/>
        <v>-1</v>
      </c>
      <c r="Q17" s="44">
        <f t="shared" si="4"/>
        <v>-1</v>
      </c>
      <c r="R17" s="140"/>
      <c r="S17" s="172" t="e">
        <f t="shared" si="5"/>
        <v>#DIV/0!</v>
      </c>
      <c r="T17" s="179">
        <v>379</v>
      </c>
      <c r="U17" s="47">
        <f t="shared" si="30"/>
        <v>4444</v>
      </c>
      <c r="V17" s="116">
        <v>340</v>
      </c>
      <c r="W17" s="47">
        <f t="shared" si="31"/>
        <v>4760</v>
      </c>
      <c r="X17" s="115"/>
      <c r="Y17" s="46">
        <f t="shared" si="32"/>
        <v>0</v>
      </c>
      <c r="Z17" s="46">
        <f t="shared" si="33"/>
        <v>-4760</v>
      </c>
      <c r="AA17" s="46">
        <f t="shared" si="18"/>
        <v>-4444</v>
      </c>
      <c r="AB17" s="52">
        <f t="shared" si="19"/>
        <v>-1</v>
      </c>
      <c r="AC17" s="48">
        <f t="shared" si="6"/>
        <v>260.3905013192612</v>
      </c>
      <c r="AD17" s="48">
        <f t="shared" si="7"/>
        <v>279.41176470588238</v>
      </c>
      <c r="AE17" s="48" t="e">
        <f t="shared" si="8"/>
        <v>#DIV/0!</v>
      </c>
      <c r="AF17" s="48" t="e">
        <f t="shared" si="20"/>
        <v>#DIV/0!</v>
      </c>
      <c r="AG17" s="112"/>
      <c r="AH17" s="112">
        <v>88</v>
      </c>
      <c r="AI17" s="49">
        <f t="shared" si="34"/>
        <v>1232</v>
      </c>
      <c r="AJ17" s="49">
        <f t="shared" si="21"/>
        <v>48</v>
      </c>
      <c r="AK17" s="112"/>
      <c r="AL17" s="112">
        <v>0</v>
      </c>
      <c r="AM17" s="49">
        <f t="shared" si="22"/>
        <v>0</v>
      </c>
      <c r="AN17" s="49">
        <f t="shared" si="35"/>
        <v>0</v>
      </c>
      <c r="AO17" s="49">
        <f t="shared" si="23"/>
        <v>-88</v>
      </c>
      <c r="AP17" s="49">
        <f t="shared" si="9"/>
        <v>4032</v>
      </c>
      <c r="AQ17" s="49">
        <f t="shared" si="36"/>
        <v>56448</v>
      </c>
      <c r="AR17" s="50">
        <f t="shared" si="10"/>
        <v>0</v>
      </c>
      <c r="AS17" s="170" t="e">
        <f t="shared" si="11"/>
        <v>#DIV/0!</v>
      </c>
      <c r="AT17" s="117"/>
      <c r="AU17" s="37">
        <f t="shared" si="40"/>
        <v>0</v>
      </c>
      <c r="AV17" s="51" t="e">
        <f t="shared" si="12"/>
        <v>#DIV/0!</v>
      </c>
      <c r="AW17" s="117"/>
      <c r="AX17" s="37">
        <f t="shared" si="41"/>
        <v>0</v>
      </c>
      <c r="AY17" s="51" t="e">
        <f t="shared" si="13"/>
        <v>#DIV/0!</v>
      </c>
      <c r="AZ17" s="118"/>
      <c r="BA17" s="37">
        <f t="shared" si="37"/>
        <v>0</v>
      </c>
      <c r="BB17" s="51" t="e">
        <f t="shared" si="14"/>
        <v>#DIV/0!</v>
      </c>
      <c r="BC17" s="118"/>
      <c r="BD17" s="37">
        <f t="shared" si="38"/>
        <v>0</v>
      </c>
      <c r="BE17" s="51" t="e">
        <f t="shared" si="15"/>
        <v>#DIV/0!</v>
      </c>
      <c r="BF17" s="118"/>
      <c r="BG17" s="37">
        <f t="shared" si="39"/>
        <v>0</v>
      </c>
      <c r="BH17" s="51" t="e">
        <f t="shared" si="16"/>
        <v>#DIV/0!</v>
      </c>
    </row>
    <row r="18" spans="1:60" ht="24.95" customHeight="1" thickBot="1" x14ac:dyDescent="0.4">
      <c r="A18" s="143">
        <f t="shared" si="24"/>
        <v>46127</v>
      </c>
      <c r="B18" s="144">
        <f t="shared" si="25"/>
        <v>46127</v>
      </c>
      <c r="C18" s="112">
        <v>89841</v>
      </c>
      <c r="D18" s="138">
        <f t="shared" si="26"/>
        <v>1260068</v>
      </c>
      <c r="E18" s="114">
        <v>95000</v>
      </c>
      <c r="F18" s="43">
        <f t="shared" si="27"/>
        <v>1425000</v>
      </c>
      <c r="G18" s="115">
        <v>84739</v>
      </c>
      <c r="H18" s="112"/>
      <c r="I18" s="43">
        <f t="shared" si="28"/>
        <v>0</v>
      </c>
      <c r="J18" s="43">
        <f t="shared" si="0"/>
        <v>-95000</v>
      </c>
      <c r="K18" s="43">
        <f t="shared" si="29"/>
        <v>-1425000</v>
      </c>
      <c r="L18" s="113"/>
      <c r="M18" s="43">
        <f t="shared" si="17"/>
        <v>0</v>
      </c>
      <c r="N18" s="44">
        <f t="shared" si="1"/>
        <v>-1</v>
      </c>
      <c r="O18" s="43">
        <f t="shared" si="2"/>
        <v>-84739</v>
      </c>
      <c r="P18" s="45">
        <f t="shared" si="3"/>
        <v>-1</v>
      </c>
      <c r="Q18" s="44">
        <f t="shared" si="4"/>
        <v>-1</v>
      </c>
      <c r="R18" s="140"/>
      <c r="S18" s="172" t="e">
        <f t="shared" si="5"/>
        <v>#DIV/0!</v>
      </c>
      <c r="T18" s="179">
        <v>328</v>
      </c>
      <c r="U18" s="47">
        <f t="shared" si="30"/>
        <v>4772</v>
      </c>
      <c r="V18" s="116">
        <v>340</v>
      </c>
      <c r="W18" s="47">
        <f t="shared" si="31"/>
        <v>5100</v>
      </c>
      <c r="X18" s="115"/>
      <c r="Y18" s="46">
        <f t="shared" si="32"/>
        <v>0</v>
      </c>
      <c r="Z18" s="46">
        <f t="shared" si="33"/>
        <v>-5100</v>
      </c>
      <c r="AA18" s="46">
        <f t="shared" si="18"/>
        <v>-4772</v>
      </c>
      <c r="AB18" s="52">
        <f t="shared" si="19"/>
        <v>-1</v>
      </c>
      <c r="AC18" s="48">
        <f t="shared" si="6"/>
        <v>273.90548780487802</v>
      </c>
      <c r="AD18" s="48">
        <f t="shared" si="7"/>
        <v>279.41176470588238</v>
      </c>
      <c r="AE18" s="48" t="e">
        <f t="shared" si="8"/>
        <v>#DIV/0!</v>
      </c>
      <c r="AF18" s="48" t="e">
        <f t="shared" si="20"/>
        <v>#DIV/0!</v>
      </c>
      <c r="AG18" s="112"/>
      <c r="AH18" s="112">
        <v>88</v>
      </c>
      <c r="AI18" s="49">
        <f t="shared" si="34"/>
        <v>1320</v>
      </c>
      <c r="AJ18" s="49">
        <f t="shared" si="21"/>
        <v>48</v>
      </c>
      <c r="AK18" s="112"/>
      <c r="AL18" s="112">
        <v>0</v>
      </c>
      <c r="AM18" s="49">
        <f t="shared" si="22"/>
        <v>0</v>
      </c>
      <c r="AN18" s="49">
        <f t="shared" si="35"/>
        <v>0</v>
      </c>
      <c r="AO18" s="49">
        <f t="shared" si="23"/>
        <v>-88</v>
      </c>
      <c r="AP18" s="49">
        <f t="shared" si="9"/>
        <v>4032</v>
      </c>
      <c r="AQ18" s="49">
        <f t="shared" si="36"/>
        <v>60480</v>
      </c>
      <c r="AR18" s="50">
        <f t="shared" si="10"/>
        <v>0</v>
      </c>
      <c r="AS18" s="170" t="e">
        <f t="shared" si="11"/>
        <v>#DIV/0!</v>
      </c>
      <c r="AT18" s="117"/>
      <c r="AU18" s="37">
        <f t="shared" si="40"/>
        <v>0</v>
      </c>
      <c r="AV18" s="51" t="e">
        <f t="shared" si="12"/>
        <v>#DIV/0!</v>
      </c>
      <c r="AW18" s="117"/>
      <c r="AX18" s="37">
        <f t="shared" si="41"/>
        <v>0</v>
      </c>
      <c r="AY18" s="51" t="e">
        <f t="shared" si="13"/>
        <v>#DIV/0!</v>
      </c>
      <c r="AZ18" s="118"/>
      <c r="BA18" s="37">
        <f t="shared" si="37"/>
        <v>0</v>
      </c>
      <c r="BB18" s="51" t="e">
        <f t="shared" si="14"/>
        <v>#DIV/0!</v>
      </c>
      <c r="BC18" s="118"/>
      <c r="BD18" s="37">
        <f t="shared" si="38"/>
        <v>0</v>
      </c>
      <c r="BE18" s="51" t="e">
        <f t="shared" si="15"/>
        <v>#DIV/0!</v>
      </c>
      <c r="BF18" s="118"/>
      <c r="BG18" s="37">
        <f t="shared" si="39"/>
        <v>0</v>
      </c>
      <c r="BH18" s="51" t="e">
        <f t="shared" si="16"/>
        <v>#DIV/0!</v>
      </c>
    </row>
    <row r="19" spans="1:60" ht="24.95" customHeight="1" thickBot="1" x14ac:dyDescent="0.4">
      <c r="A19" s="143">
        <f t="shared" si="24"/>
        <v>46128</v>
      </c>
      <c r="B19" s="144">
        <f t="shared" si="25"/>
        <v>46128</v>
      </c>
      <c r="C19" s="112">
        <v>99492</v>
      </c>
      <c r="D19" s="138">
        <f t="shared" si="26"/>
        <v>1359560</v>
      </c>
      <c r="E19" s="114">
        <v>95000</v>
      </c>
      <c r="F19" s="43">
        <f t="shared" si="27"/>
        <v>1520000</v>
      </c>
      <c r="G19" s="115">
        <v>86892</v>
      </c>
      <c r="H19" s="112"/>
      <c r="I19" s="43">
        <f t="shared" si="28"/>
        <v>0</v>
      </c>
      <c r="J19" s="43">
        <f t="shared" si="0"/>
        <v>-95000</v>
      </c>
      <c r="K19" s="43">
        <f t="shared" si="29"/>
        <v>-1520000</v>
      </c>
      <c r="L19" s="113"/>
      <c r="M19" s="43">
        <f t="shared" si="17"/>
        <v>0</v>
      </c>
      <c r="N19" s="44">
        <f t="shared" si="1"/>
        <v>-1</v>
      </c>
      <c r="O19" s="43">
        <f t="shared" si="2"/>
        <v>-86892</v>
      </c>
      <c r="P19" s="45">
        <f t="shared" si="3"/>
        <v>-1</v>
      </c>
      <c r="Q19" s="44">
        <f t="shared" si="4"/>
        <v>-1</v>
      </c>
      <c r="R19" s="140"/>
      <c r="S19" s="172" t="e">
        <f t="shared" si="5"/>
        <v>#DIV/0!</v>
      </c>
      <c r="T19" s="179">
        <v>339</v>
      </c>
      <c r="U19" s="47">
        <f t="shared" si="30"/>
        <v>5111</v>
      </c>
      <c r="V19" s="116">
        <v>340</v>
      </c>
      <c r="W19" s="47">
        <f t="shared" si="31"/>
        <v>5440</v>
      </c>
      <c r="X19" s="115"/>
      <c r="Y19" s="46">
        <f t="shared" si="32"/>
        <v>0</v>
      </c>
      <c r="Z19" s="46">
        <f t="shared" si="33"/>
        <v>-5440</v>
      </c>
      <c r="AA19" s="46">
        <f t="shared" si="18"/>
        <v>-5111</v>
      </c>
      <c r="AB19" s="52">
        <f t="shared" si="19"/>
        <v>-1</v>
      </c>
      <c r="AC19" s="48">
        <f t="shared" si="6"/>
        <v>293.48672566371681</v>
      </c>
      <c r="AD19" s="48">
        <f t="shared" si="7"/>
        <v>279.41176470588238</v>
      </c>
      <c r="AE19" s="48" t="e">
        <f t="shared" si="8"/>
        <v>#DIV/0!</v>
      </c>
      <c r="AF19" s="48" t="e">
        <f t="shared" si="20"/>
        <v>#DIV/0!</v>
      </c>
      <c r="AG19" s="112"/>
      <c r="AH19" s="112">
        <v>88</v>
      </c>
      <c r="AI19" s="49">
        <f t="shared" si="34"/>
        <v>1408</v>
      </c>
      <c r="AJ19" s="49">
        <f t="shared" si="21"/>
        <v>48</v>
      </c>
      <c r="AK19" s="112"/>
      <c r="AL19" s="112">
        <v>0</v>
      </c>
      <c r="AM19" s="49">
        <f t="shared" si="22"/>
        <v>0</v>
      </c>
      <c r="AN19" s="49">
        <f t="shared" si="35"/>
        <v>0</v>
      </c>
      <c r="AO19" s="49">
        <f t="shared" si="23"/>
        <v>-88</v>
      </c>
      <c r="AP19" s="49">
        <f t="shared" si="9"/>
        <v>4032</v>
      </c>
      <c r="AQ19" s="49">
        <f t="shared" si="36"/>
        <v>64512</v>
      </c>
      <c r="AR19" s="50">
        <f t="shared" si="10"/>
        <v>0</v>
      </c>
      <c r="AS19" s="170" t="e">
        <f t="shared" si="11"/>
        <v>#DIV/0!</v>
      </c>
      <c r="AT19" s="117"/>
      <c r="AU19" s="37">
        <f t="shared" si="40"/>
        <v>0</v>
      </c>
      <c r="AV19" s="51" t="e">
        <f t="shared" si="12"/>
        <v>#DIV/0!</v>
      </c>
      <c r="AW19" s="117"/>
      <c r="AX19" s="37">
        <f t="shared" si="41"/>
        <v>0</v>
      </c>
      <c r="AY19" s="51" t="e">
        <f t="shared" si="13"/>
        <v>#DIV/0!</v>
      </c>
      <c r="AZ19" s="118"/>
      <c r="BA19" s="37">
        <f t="shared" si="37"/>
        <v>0</v>
      </c>
      <c r="BB19" s="51" t="e">
        <f t="shared" si="14"/>
        <v>#DIV/0!</v>
      </c>
      <c r="BC19" s="118"/>
      <c r="BD19" s="37">
        <f t="shared" si="38"/>
        <v>0</v>
      </c>
      <c r="BE19" s="51" t="e">
        <f t="shared" si="15"/>
        <v>#DIV/0!</v>
      </c>
      <c r="BF19" s="118"/>
      <c r="BG19" s="37">
        <f t="shared" si="39"/>
        <v>0</v>
      </c>
      <c r="BH19" s="51" t="e">
        <f t="shared" si="16"/>
        <v>#DIV/0!</v>
      </c>
    </row>
    <row r="20" spans="1:60" ht="24.95" customHeight="1" thickBot="1" x14ac:dyDescent="0.4">
      <c r="A20" s="143">
        <f t="shared" si="24"/>
        <v>46129</v>
      </c>
      <c r="B20" s="144">
        <f t="shared" si="25"/>
        <v>46129</v>
      </c>
      <c r="C20" s="112">
        <v>92429</v>
      </c>
      <c r="D20" s="138">
        <f t="shared" si="26"/>
        <v>1451989</v>
      </c>
      <c r="E20" s="114">
        <v>95000</v>
      </c>
      <c r="F20" s="43">
        <f t="shared" si="27"/>
        <v>1615000</v>
      </c>
      <c r="G20" s="115">
        <v>93274</v>
      </c>
      <c r="H20" s="112"/>
      <c r="I20" s="43">
        <f t="shared" si="28"/>
        <v>0</v>
      </c>
      <c r="J20" s="43">
        <f t="shared" si="0"/>
        <v>-95000</v>
      </c>
      <c r="K20" s="43">
        <f t="shared" si="29"/>
        <v>-1615000</v>
      </c>
      <c r="L20" s="113"/>
      <c r="M20" s="43">
        <f t="shared" si="17"/>
        <v>0</v>
      </c>
      <c r="N20" s="44">
        <f t="shared" si="1"/>
        <v>-1</v>
      </c>
      <c r="O20" s="43">
        <f t="shared" si="2"/>
        <v>-93274</v>
      </c>
      <c r="P20" s="45">
        <f t="shared" si="3"/>
        <v>-1</v>
      </c>
      <c r="Q20" s="44">
        <f t="shared" si="4"/>
        <v>-1</v>
      </c>
      <c r="R20" s="140"/>
      <c r="S20" s="172" t="e">
        <f t="shared" si="5"/>
        <v>#DIV/0!</v>
      </c>
      <c r="T20" s="179">
        <v>297</v>
      </c>
      <c r="U20" s="47">
        <f t="shared" si="30"/>
        <v>5408</v>
      </c>
      <c r="V20" s="116">
        <v>340</v>
      </c>
      <c r="W20" s="47">
        <f t="shared" si="31"/>
        <v>5780</v>
      </c>
      <c r="X20" s="115"/>
      <c r="Y20" s="46">
        <f t="shared" si="32"/>
        <v>0</v>
      </c>
      <c r="Z20" s="46">
        <f t="shared" si="33"/>
        <v>-5780</v>
      </c>
      <c r="AA20" s="46">
        <f t="shared" si="18"/>
        <v>-5408</v>
      </c>
      <c r="AB20" s="52">
        <f t="shared" si="19"/>
        <v>-1</v>
      </c>
      <c r="AC20" s="48">
        <f t="shared" si="6"/>
        <v>311.20875420875421</v>
      </c>
      <c r="AD20" s="48">
        <f t="shared" si="7"/>
        <v>279.41176470588238</v>
      </c>
      <c r="AE20" s="48" t="e">
        <f t="shared" si="8"/>
        <v>#DIV/0!</v>
      </c>
      <c r="AF20" s="48" t="e">
        <f t="shared" si="20"/>
        <v>#DIV/0!</v>
      </c>
      <c r="AG20" s="112"/>
      <c r="AH20" s="112">
        <v>88</v>
      </c>
      <c r="AI20" s="49">
        <f t="shared" si="34"/>
        <v>1496</v>
      </c>
      <c r="AJ20" s="49">
        <f t="shared" si="21"/>
        <v>48</v>
      </c>
      <c r="AK20" s="112"/>
      <c r="AL20" s="112">
        <v>0</v>
      </c>
      <c r="AM20" s="49">
        <f t="shared" si="22"/>
        <v>0</v>
      </c>
      <c r="AN20" s="49">
        <f t="shared" si="35"/>
        <v>0</v>
      </c>
      <c r="AO20" s="49">
        <f t="shared" si="23"/>
        <v>-88</v>
      </c>
      <c r="AP20" s="49">
        <f t="shared" si="9"/>
        <v>4032</v>
      </c>
      <c r="AQ20" s="49">
        <f t="shared" si="36"/>
        <v>68544</v>
      </c>
      <c r="AR20" s="50">
        <f t="shared" si="10"/>
        <v>0</v>
      </c>
      <c r="AS20" s="170" t="e">
        <f t="shared" si="11"/>
        <v>#DIV/0!</v>
      </c>
      <c r="AT20" s="117"/>
      <c r="AU20" s="37">
        <f t="shared" si="40"/>
        <v>0</v>
      </c>
      <c r="AV20" s="51" t="e">
        <f t="shared" si="12"/>
        <v>#DIV/0!</v>
      </c>
      <c r="AW20" s="117"/>
      <c r="AX20" s="37">
        <f t="shared" si="41"/>
        <v>0</v>
      </c>
      <c r="AY20" s="51" t="e">
        <f t="shared" si="13"/>
        <v>#DIV/0!</v>
      </c>
      <c r="AZ20" s="118"/>
      <c r="BA20" s="37">
        <f t="shared" si="37"/>
        <v>0</v>
      </c>
      <c r="BB20" s="51" t="e">
        <f t="shared" si="14"/>
        <v>#DIV/0!</v>
      </c>
      <c r="BC20" s="118"/>
      <c r="BD20" s="37">
        <f t="shared" si="38"/>
        <v>0</v>
      </c>
      <c r="BE20" s="51" t="e">
        <f t="shared" si="15"/>
        <v>#DIV/0!</v>
      </c>
      <c r="BF20" s="118"/>
      <c r="BG20" s="37">
        <f t="shared" si="39"/>
        <v>0</v>
      </c>
      <c r="BH20" s="51" t="e">
        <f t="shared" si="16"/>
        <v>#DIV/0!</v>
      </c>
    </row>
    <row r="21" spans="1:60" s="32" customFormat="1" ht="24.95" customHeight="1" thickBot="1" x14ac:dyDescent="0.4">
      <c r="A21" s="143">
        <f t="shared" si="24"/>
        <v>46130</v>
      </c>
      <c r="B21" s="144">
        <f t="shared" si="25"/>
        <v>46130</v>
      </c>
      <c r="C21" s="112">
        <v>71996</v>
      </c>
      <c r="D21" s="138">
        <f t="shared" si="26"/>
        <v>1523985</v>
      </c>
      <c r="E21" s="114">
        <v>95000</v>
      </c>
      <c r="F21" s="43">
        <f t="shared" si="27"/>
        <v>1710000</v>
      </c>
      <c r="G21" s="115">
        <v>100705</v>
      </c>
      <c r="H21" s="112"/>
      <c r="I21" s="43">
        <f t="shared" si="28"/>
        <v>0</v>
      </c>
      <c r="J21" s="43">
        <f t="shared" si="0"/>
        <v>-95000</v>
      </c>
      <c r="K21" s="43">
        <f t="shared" si="29"/>
        <v>-1710000</v>
      </c>
      <c r="L21" s="113"/>
      <c r="M21" s="43">
        <f t="shared" si="17"/>
        <v>0</v>
      </c>
      <c r="N21" s="44">
        <f t="shared" si="1"/>
        <v>-1</v>
      </c>
      <c r="O21" s="43">
        <f t="shared" si="2"/>
        <v>-100705</v>
      </c>
      <c r="P21" s="45">
        <f t="shared" si="3"/>
        <v>-1</v>
      </c>
      <c r="Q21" s="44">
        <f t="shared" si="4"/>
        <v>-1</v>
      </c>
      <c r="R21" s="140"/>
      <c r="S21" s="172" t="e">
        <f t="shared" si="5"/>
        <v>#DIV/0!</v>
      </c>
      <c r="T21" s="179">
        <v>291</v>
      </c>
      <c r="U21" s="47">
        <f t="shared" si="30"/>
        <v>5699</v>
      </c>
      <c r="V21" s="116">
        <v>340</v>
      </c>
      <c r="W21" s="47">
        <f t="shared" si="31"/>
        <v>6120</v>
      </c>
      <c r="X21" s="115"/>
      <c r="Y21" s="46">
        <f t="shared" si="32"/>
        <v>0</v>
      </c>
      <c r="Z21" s="46">
        <f t="shared" si="33"/>
        <v>-6120</v>
      </c>
      <c r="AA21" s="46">
        <f t="shared" si="18"/>
        <v>-5699</v>
      </c>
      <c r="AB21" s="52">
        <f t="shared" si="19"/>
        <v>-1</v>
      </c>
      <c r="AC21" s="48">
        <f t="shared" si="6"/>
        <v>247.40893470790377</v>
      </c>
      <c r="AD21" s="48">
        <f t="shared" si="7"/>
        <v>279.41176470588238</v>
      </c>
      <c r="AE21" s="48" t="e">
        <f t="shared" si="8"/>
        <v>#DIV/0!</v>
      </c>
      <c r="AF21" s="48" t="e">
        <f t="shared" si="20"/>
        <v>#DIV/0!</v>
      </c>
      <c r="AG21" s="112"/>
      <c r="AH21" s="112">
        <v>88</v>
      </c>
      <c r="AI21" s="49">
        <f t="shared" si="34"/>
        <v>1584</v>
      </c>
      <c r="AJ21" s="49">
        <f t="shared" si="21"/>
        <v>48</v>
      </c>
      <c r="AK21" s="112"/>
      <c r="AL21" s="112">
        <v>0</v>
      </c>
      <c r="AM21" s="49">
        <f t="shared" si="22"/>
        <v>0</v>
      </c>
      <c r="AN21" s="49">
        <f t="shared" si="35"/>
        <v>0</v>
      </c>
      <c r="AO21" s="49">
        <f t="shared" si="23"/>
        <v>-88</v>
      </c>
      <c r="AP21" s="49">
        <f t="shared" si="9"/>
        <v>4032</v>
      </c>
      <c r="AQ21" s="49">
        <f t="shared" si="36"/>
        <v>72576</v>
      </c>
      <c r="AR21" s="50">
        <f t="shared" si="10"/>
        <v>0</v>
      </c>
      <c r="AS21" s="170" t="e">
        <f t="shared" si="11"/>
        <v>#DIV/0!</v>
      </c>
      <c r="AT21" s="117"/>
      <c r="AU21" s="37">
        <f t="shared" si="40"/>
        <v>0</v>
      </c>
      <c r="AV21" s="51" t="e">
        <f t="shared" si="12"/>
        <v>#DIV/0!</v>
      </c>
      <c r="AW21" s="117"/>
      <c r="AX21" s="37">
        <f t="shared" si="41"/>
        <v>0</v>
      </c>
      <c r="AY21" s="51" t="e">
        <f t="shared" si="13"/>
        <v>#DIV/0!</v>
      </c>
      <c r="AZ21" s="118"/>
      <c r="BA21" s="37">
        <f t="shared" si="37"/>
        <v>0</v>
      </c>
      <c r="BB21" s="51" t="e">
        <f t="shared" si="14"/>
        <v>#DIV/0!</v>
      </c>
      <c r="BC21" s="118"/>
      <c r="BD21" s="37">
        <f t="shared" si="38"/>
        <v>0</v>
      </c>
      <c r="BE21" s="51" t="e">
        <f t="shared" si="15"/>
        <v>#DIV/0!</v>
      </c>
      <c r="BF21" s="118"/>
      <c r="BG21" s="37">
        <f t="shared" si="39"/>
        <v>0</v>
      </c>
      <c r="BH21" s="51" t="e">
        <f t="shared" si="16"/>
        <v>#DIV/0!</v>
      </c>
    </row>
    <row r="22" spans="1:60" s="32" customFormat="1" ht="24.95" customHeight="1" thickBot="1" x14ac:dyDescent="0.4">
      <c r="A22" s="143">
        <f t="shared" si="24"/>
        <v>46131</v>
      </c>
      <c r="B22" s="144">
        <f t="shared" si="25"/>
        <v>46131</v>
      </c>
      <c r="C22" s="112">
        <v>83304</v>
      </c>
      <c r="D22" s="138">
        <f t="shared" si="26"/>
        <v>1607289</v>
      </c>
      <c r="E22" s="114">
        <v>95000</v>
      </c>
      <c r="F22" s="43">
        <f t="shared" ref="F22:F34" si="42">E22+F21</f>
        <v>1805000</v>
      </c>
      <c r="G22" s="115">
        <v>89463</v>
      </c>
      <c r="H22" s="112"/>
      <c r="I22" s="43">
        <f t="shared" si="28"/>
        <v>0</v>
      </c>
      <c r="J22" s="43">
        <f t="shared" si="0"/>
        <v>-95000</v>
      </c>
      <c r="K22" s="43">
        <f t="shared" si="29"/>
        <v>-1805000</v>
      </c>
      <c r="L22" s="113"/>
      <c r="M22" s="43">
        <f t="shared" si="17"/>
        <v>0</v>
      </c>
      <c r="N22" s="44">
        <f t="shared" si="1"/>
        <v>-1</v>
      </c>
      <c r="O22" s="43">
        <f t="shared" si="2"/>
        <v>-89463</v>
      </c>
      <c r="P22" s="45">
        <f t="shared" si="3"/>
        <v>-1</v>
      </c>
      <c r="Q22" s="44">
        <f t="shared" si="4"/>
        <v>-1</v>
      </c>
      <c r="R22" s="140"/>
      <c r="S22" s="172" t="e">
        <f t="shared" si="5"/>
        <v>#DIV/0!</v>
      </c>
      <c r="T22" s="179">
        <v>304</v>
      </c>
      <c r="U22" s="47">
        <f t="shared" si="30"/>
        <v>6003</v>
      </c>
      <c r="V22" s="116">
        <v>340</v>
      </c>
      <c r="W22" s="47">
        <f t="shared" si="31"/>
        <v>6460</v>
      </c>
      <c r="X22" s="115"/>
      <c r="Y22" s="46">
        <f t="shared" si="32"/>
        <v>0</v>
      </c>
      <c r="Z22" s="46">
        <f t="shared" si="33"/>
        <v>-6460</v>
      </c>
      <c r="AA22" s="46">
        <f t="shared" si="18"/>
        <v>-6003</v>
      </c>
      <c r="AB22" s="52">
        <f t="shared" si="19"/>
        <v>-1</v>
      </c>
      <c r="AC22" s="48">
        <f t="shared" si="6"/>
        <v>274.0263157894737</v>
      </c>
      <c r="AD22" s="48">
        <f t="shared" si="7"/>
        <v>279.41176470588238</v>
      </c>
      <c r="AE22" s="48" t="e">
        <f t="shared" si="8"/>
        <v>#DIV/0!</v>
      </c>
      <c r="AF22" s="48" t="e">
        <f t="shared" si="20"/>
        <v>#DIV/0!</v>
      </c>
      <c r="AG22" s="112"/>
      <c r="AH22" s="112">
        <v>88</v>
      </c>
      <c r="AI22" s="49">
        <f t="shared" si="34"/>
        <v>1672</v>
      </c>
      <c r="AJ22" s="49">
        <f t="shared" si="21"/>
        <v>48</v>
      </c>
      <c r="AK22" s="112"/>
      <c r="AL22" s="112">
        <v>0</v>
      </c>
      <c r="AM22" s="49">
        <f t="shared" si="22"/>
        <v>0</v>
      </c>
      <c r="AN22" s="49">
        <f t="shared" si="35"/>
        <v>0</v>
      </c>
      <c r="AO22" s="49">
        <f t="shared" si="23"/>
        <v>-88</v>
      </c>
      <c r="AP22" s="49">
        <f t="shared" si="9"/>
        <v>4032</v>
      </c>
      <c r="AQ22" s="49">
        <f t="shared" si="36"/>
        <v>76608</v>
      </c>
      <c r="AR22" s="50">
        <f t="shared" si="10"/>
        <v>0</v>
      </c>
      <c r="AS22" s="170" t="e">
        <f t="shared" si="11"/>
        <v>#DIV/0!</v>
      </c>
      <c r="AT22" s="117"/>
      <c r="AU22" s="37">
        <f t="shared" si="40"/>
        <v>0</v>
      </c>
      <c r="AV22" s="51" t="e">
        <f t="shared" si="12"/>
        <v>#DIV/0!</v>
      </c>
      <c r="AW22" s="117"/>
      <c r="AX22" s="37">
        <f t="shared" si="41"/>
        <v>0</v>
      </c>
      <c r="AY22" s="51" t="e">
        <f t="shared" si="13"/>
        <v>#DIV/0!</v>
      </c>
      <c r="AZ22" s="118"/>
      <c r="BA22" s="37">
        <f t="shared" si="37"/>
        <v>0</v>
      </c>
      <c r="BB22" s="51" t="e">
        <f t="shared" si="14"/>
        <v>#DIV/0!</v>
      </c>
      <c r="BC22" s="118"/>
      <c r="BD22" s="37">
        <f t="shared" si="38"/>
        <v>0</v>
      </c>
      <c r="BE22" s="51" t="e">
        <f t="shared" si="15"/>
        <v>#DIV/0!</v>
      </c>
      <c r="BF22" s="118"/>
      <c r="BG22" s="37">
        <f t="shared" si="39"/>
        <v>0</v>
      </c>
      <c r="BH22" s="51" t="e">
        <f t="shared" si="16"/>
        <v>#DIV/0!</v>
      </c>
    </row>
    <row r="23" spans="1:60" ht="24.95" customHeight="1" thickBot="1" x14ac:dyDescent="0.4">
      <c r="A23" s="143">
        <f t="shared" si="24"/>
        <v>46132</v>
      </c>
      <c r="B23" s="144">
        <f t="shared" si="25"/>
        <v>46132</v>
      </c>
      <c r="C23" s="112">
        <v>103882</v>
      </c>
      <c r="D23" s="138">
        <f t="shared" si="26"/>
        <v>1711171</v>
      </c>
      <c r="E23" s="114">
        <v>95000</v>
      </c>
      <c r="F23" s="43">
        <f t="shared" si="42"/>
        <v>1900000</v>
      </c>
      <c r="G23" s="115">
        <v>84722</v>
      </c>
      <c r="H23" s="112"/>
      <c r="I23" s="43">
        <f t="shared" si="28"/>
        <v>0</v>
      </c>
      <c r="J23" s="43">
        <f t="shared" si="0"/>
        <v>-95000</v>
      </c>
      <c r="K23" s="43">
        <f t="shared" si="29"/>
        <v>-1900000</v>
      </c>
      <c r="L23" s="113"/>
      <c r="M23" s="43">
        <f t="shared" si="17"/>
        <v>0</v>
      </c>
      <c r="N23" s="44">
        <f t="shared" si="1"/>
        <v>-1</v>
      </c>
      <c r="O23" s="43">
        <f t="shared" si="2"/>
        <v>-84722</v>
      </c>
      <c r="P23" s="45">
        <f t="shared" si="3"/>
        <v>-1</v>
      </c>
      <c r="Q23" s="44">
        <f t="shared" si="4"/>
        <v>-1</v>
      </c>
      <c r="R23" s="140"/>
      <c r="S23" s="172" t="e">
        <f t="shared" si="5"/>
        <v>#DIV/0!</v>
      </c>
      <c r="T23" s="179">
        <v>376</v>
      </c>
      <c r="U23" s="47">
        <f t="shared" si="30"/>
        <v>6379</v>
      </c>
      <c r="V23" s="116">
        <v>340</v>
      </c>
      <c r="W23" s="47">
        <f t="shared" si="31"/>
        <v>6800</v>
      </c>
      <c r="X23" s="115"/>
      <c r="Y23" s="46">
        <f t="shared" si="32"/>
        <v>0</v>
      </c>
      <c r="Z23" s="46">
        <f t="shared" si="33"/>
        <v>-6800</v>
      </c>
      <c r="AA23" s="46">
        <f t="shared" si="18"/>
        <v>-6379</v>
      </c>
      <c r="AB23" s="52">
        <f t="shared" si="19"/>
        <v>-1</v>
      </c>
      <c r="AC23" s="48">
        <f t="shared" si="6"/>
        <v>276.281914893617</v>
      </c>
      <c r="AD23" s="48">
        <f t="shared" si="7"/>
        <v>279.41176470588238</v>
      </c>
      <c r="AE23" s="48" t="e">
        <f t="shared" si="8"/>
        <v>#DIV/0!</v>
      </c>
      <c r="AF23" s="48" t="e">
        <f t="shared" si="20"/>
        <v>#DIV/0!</v>
      </c>
      <c r="AG23" s="112"/>
      <c r="AH23" s="112">
        <v>88</v>
      </c>
      <c r="AI23" s="49">
        <f t="shared" si="34"/>
        <v>1760</v>
      </c>
      <c r="AJ23" s="49">
        <f t="shared" si="21"/>
        <v>48</v>
      </c>
      <c r="AK23" s="112"/>
      <c r="AL23" s="112">
        <v>0</v>
      </c>
      <c r="AM23" s="49">
        <f t="shared" si="22"/>
        <v>0</v>
      </c>
      <c r="AN23" s="49">
        <f t="shared" si="35"/>
        <v>0</v>
      </c>
      <c r="AO23" s="49">
        <f t="shared" si="23"/>
        <v>-88</v>
      </c>
      <c r="AP23" s="49">
        <f t="shared" si="9"/>
        <v>4032</v>
      </c>
      <c r="AQ23" s="49">
        <f t="shared" si="36"/>
        <v>80640</v>
      </c>
      <c r="AR23" s="50">
        <f t="shared" si="10"/>
        <v>0</v>
      </c>
      <c r="AS23" s="170" t="e">
        <f t="shared" si="11"/>
        <v>#DIV/0!</v>
      </c>
      <c r="AT23" s="117"/>
      <c r="AU23" s="37">
        <f t="shared" si="40"/>
        <v>0</v>
      </c>
      <c r="AV23" s="51" t="e">
        <f t="shared" si="12"/>
        <v>#DIV/0!</v>
      </c>
      <c r="AW23" s="117"/>
      <c r="AX23" s="37">
        <f t="shared" si="41"/>
        <v>0</v>
      </c>
      <c r="AY23" s="51" t="e">
        <f t="shared" si="13"/>
        <v>#DIV/0!</v>
      </c>
      <c r="AZ23" s="118"/>
      <c r="BA23" s="37">
        <f t="shared" si="37"/>
        <v>0</v>
      </c>
      <c r="BB23" s="51" t="e">
        <f t="shared" si="14"/>
        <v>#DIV/0!</v>
      </c>
      <c r="BC23" s="118"/>
      <c r="BD23" s="37">
        <f t="shared" si="38"/>
        <v>0</v>
      </c>
      <c r="BE23" s="51" t="e">
        <f t="shared" si="15"/>
        <v>#DIV/0!</v>
      </c>
      <c r="BF23" s="118"/>
      <c r="BG23" s="37">
        <f t="shared" si="39"/>
        <v>0</v>
      </c>
      <c r="BH23" s="51" t="e">
        <f t="shared" si="16"/>
        <v>#DIV/0!</v>
      </c>
    </row>
    <row r="24" spans="1:60" ht="24.95" customHeight="1" thickBot="1" x14ac:dyDescent="0.4">
      <c r="A24" s="143">
        <f t="shared" si="24"/>
        <v>46133</v>
      </c>
      <c r="B24" s="144">
        <f t="shared" si="25"/>
        <v>46133</v>
      </c>
      <c r="C24" s="112">
        <v>85053</v>
      </c>
      <c r="D24" s="138">
        <f>C24+D23</f>
        <v>1796224</v>
      </c>
      <c r="E24" s="114">
        <v>95000</v>
      </c>
      <c r="F24" s="43">
        <f t="shared" si="42"/>
        <v>1995000</v>
      </c>
      <c r="G24" s="115">
        <v>81857</v>
      </c>
      <c r="H24" s="112"/>
      <c r="I24" s="43">
        <f t="shared" si="28"/>
        <v>0</v>
      </c>
      <c r="J24" s="43">
        <f t="shared" si="0"/>
        <v>-95000</v>
      </c>
      <c r="K24" s="43">
        <f t="shared" si="29"/>
        <v>-1995000</v>
      </c>
      <c r="L24" s="113"/>
      <c r="M24" s="43">
        <f t="shared" si="17"/>
        <v>0</v>
      </c>
      <c r="N24" s="44">
        <f t="shared" si="1"/>
        <v>-1</v>
      </c>
      <c r="O24" s="43">
        <f t="shared" si="2"/>
        <v>-81857</v>
      </c>
      <c r="P24" s="45">
        <f t="shared" si="3"/>
        <v>-1</v>
      </c>
      <c r="Q24" s="44">
        <f t="shared" si="4"/>
        <v>-1</v>
      </c>
      <c r="R24" s="140"/>
      <c r="S24" s="172" t="e">
        <f t="shared" si="5"/>
        <v>#DIV/0!</v>
      </c>
      <c r="T24" s="179">
        <v>346</v>
      </c>
      <c r="U24" s="47">
        <f t="shared" si="30"/>
        <v>6725</v>
      </c>
      <c r="V24" s="116">
        <v>340</v>
      </c>
      <c r="W24" s="47">
        <f t="shared" si="31"/>
        <v>7140</v>
      </c>
      <c r="X24" s="115"/>
      <c r="Y24" s="46">
        <f t="shared" si="32"/>
        <v>0</v>
      </c>
      <c r="Z24" s="46">
        <f t="shared" si="33"/>
        <v>-7140</v>
      </c>
      <c r="AA24" s="46">
        <f t="shared" si="18"/>
        <v>-6725</v>
      </c>
      <c r="AB24" s="52">
        <f t="shared" si="19"/>
        <v>-1</v>
      </c>
      <c r="AC24" s="48">
        <f t="shared" si="6"/>
        <v>245.81791907514452</v>
      </c>
      <c r="AD24" s="48">
        <f t="shared" si="7"/>
        <v>279.41176470588238</v>
      </c>
      <c r="AE24" s="48" t="e">
        <f t="shared" si="8"/>
        <v>#DIV/0!</v>
      </c>
      <c r="AF24" s="48" t="e">
        <f t="shared" si="20"/>
        <v>#DIV/0!</v>
      </c>
      <c r="AG24" s="112"/>
      <c r="AH24" s="112">
        <v>88</v>
      </c>
      <c r="AI24" s="49">
        <f t="shared" si="34"/>
        <v>1848</v>
      </c>
      <c r="AJ24" s="49">
        <f t="shared" si="21"/>
        <v>48</v>
      </c>
      <c r="AK24" s="112"/>
      <c r="AL24" s="112">
        <v>0</v>
      </c>
      <c r="AM24" s="49">
        <f t="shared" si="22"/>
        <v>0</v>
      </c>
      <c r="AN24" s="49">
        <f t="shared" si="35"/>
        <v>0</v>
      </c>
      <c r="AO24" s="49">
        <f t="shared" si="23"/>
        <v>-88</v>
      </c>
      <c r="AP24" s="49">
        <f t="shared" si="9"/>
        <v>4032</v>
      </c>
      <c r="AQ24" s="49">
        <f t="shared" si="36"/>
        <v>84672</v>
      </c>
      <c r="AR24" s="50">
        <f t="shared" si="10"/>
        <v>0</v>
      </c>
      <c r="AS24" s="170" t="e">
        <f t="shared" si="11"/>
        <v>#DIV/0!</v>
      </c>
      <c r="AT24" s="117"/>
      <c r="AU24" s="37">
        <f t="shared" si="40"/>
        <v>0</v>
      </c>
      <c r="AV24" s="51" t="e">
        <f t="shared" si="12"/>
        <v>#DIV/0!</v>
      </c>
      <c r="AW24" s="117"/>
      <c r="AX24" s="37">
        <f t="shared" si="41"/>
        <v>0</v>
      </c>
      <c r="AY24" s="51" t="e">
        <f t="shared" si="13"/>
        <v>#DIV/0!</v>
      </c>
      <c r="AZ24" s="118"/>
      <c r="BA24" s="37">
        <f t="shared" si="37"/>
        <v>0</v>
      </c>
      <c r="BB24" s="51" t="e">
        <f t="shared" si="14"/>
        <v>#DIV/0!</v>
      </c>
      <c r="BC24" s="118"/>
      <c r="BD24" s="37">
        <f t="shared" si="38"/>
        <v>0</v>
      </c>
      <c r="BE24" s="51" t="e">
        <f t="shared" si="15"/>
        <v>#DIV/0!</v>
      </c>
      <c r="BF24" s="118"/>
      <c r="BG24" s="37">
        <f t="shared" si="39"/>
        <v>0</v>
      </c>
      <c r="BH24" s="51" t="e">
        <f t="shared" si="16"/>
        <v>#DIV/0!</v>
      </c>
    </row>
    <row r="25" spans="1:60" ht="24.95" customHeight="1" thickBot="1" x14ac:dyDescent="0.4">
      <c r="A25" s="143">
        <f t="shared" si="24"/>
        <v>46134</v>
      </c>
      <c r="B25" s="144">
        <f t="shared" si="25"/>
        <v>46134</v>
      </c>
      <c r="C25" s="112">
        <v>83653</v>
      </c>
      <c r="D25" s="138">
        <f t="shared" si="26"/>
        <v>1879877</v>
      </c>
      <c r="E25" s="114">
        <v>95000</v>
      </c>
      <c r="F25" s="43">
        <f t="shared" si="42"/>
        <v>2090000</v>
      </c>
      <c r="G25" s="115">
        <v>84739</v>
      </c>
      <c r="H25" s="112"/>
      <c r="I25" s="43">
        <f t="shared" si="28"/>
        <v>0</v>
      </c>
      <c r="J25" s="43">
        <f t="shared" si="0"/>
        <v>-95000</v>
      </c>
      <c r="K25" s="43">
        <f t="shared" si="29"/>
        <v>-2090000</v>
      </c>
      <c r="L25" s="113"/>
      <c r="M25" s="43">
        <f t="shared" si="17"/>
        <v>0</v>
      </c>
      <c r="N25" s="44">
        <f t="shared" si="1"/>
        <v>-1</v>
      </c>
      <c r="O25" s="43">
        <f t="shared" si="2"/>
        <v>-84739</v>
      </c>
      <c r="P25" s="45">
        <f t="shared" si="3"/>
        <v>-1</v>
      </c>
      <c r="Q25" s="44">
        <f t="shared" si="4"/>
        <v>-1</v>
      </c>
      <c r="R25" s="140"/>
      <c r="S25" s="172" t="e">
        <f t="shared" si="5"/>
        <v>#DIV/0!</v>
      </c>
      <c r="T25" s="179">
        <v>317</v>
      </c>
      <c r="U25" s="47">
        <f t="shared" si="30"/>
        <v>7042</v>
      </c>
      <c r="V25" s="116">
        <v>340</v>
      </c>
      <c r="W25" s="47">
        <f t="shared" si="31"/>
        <v>7480</v>
      </c>
      <c r="X25" s="115"/>
      <c r="Y25" s="46">
        <f t="shared" si="32"/>
        <v>0</v>
      </c>
      <c r="Z25" s="46">
        <f t="shared" si="33"/>
        <v>-7480</v>
      </c>
      <c r="AA25" s="46">
        <f t="shared" si="18"/>
        <v>-7042</v>
      </c>
      <c r="AB25" s="52">
        <f t="shared" si="19"/>
        <v>-1</v>
      </c>
      <c r="AC25" s="48">
        <f t="shared" si="6"/>
        <v>263.88958990536275</v>
      </c>
      <c r="AD25" s="48">
        <f t="shared" si="7"/>
        <v>279.41176470588238</v>
      </c>
      <c r="AE25" s="48" t="e">
        <f t="shared" si="8"/>
        <v>#DIV/0!</v>
      </c>
      <c r="AF25" s="48" t="e">
        <f t="shared" si="20"/>
        <v>#DIV/0!</v>
      </c>
      <c r="AG25" s="112"/>
      <c r="AH25" s="112">
        <v>88</v>
      </c>
      <c r="AI25" s="49">
        <f t="shared" si="34"/>
        <v>1936</v>
      </c>
      <c r="AJ25" s="49">
        <f t="shared" si="21"/>
        <v>48</v>
      </c>
      <c r="AK25" s="112"/>
      <c r="AL25" s="112">
        <v>0</v>
      </c>
      <c r="AM25" s="49">
        <f t="shared" si="22"/>
        <v>0</v>
      </c>
      <c r="AN25" s="49">
        <f t="shared" si="35"/>
        <v>0</v>
      </c>
      <c r="AO25" s="49">
        <f t="shared" si="23"/>
        <v>-88</v>
      </c>
      <c r="AP25" s="49">
        <f t="shared" si="9"/>
        <v>4032</v>
      </c>
      <c r="AQ25" s="49">
        <f t="shared" si="36"/>
        <v>88704</v>
      </c>
      <c r="AR25" s="50">
        <f t="shared" si="10"/>
        <v>0</v>
      </c>
      <c r="AS25" s="170" t="e">
        <f t="shared" si="11"/>
        <v>#DIV/0!</v>
      </c>
      <c r="AT25" s="117"/>
      <c r="AU25" s="37">
        <f t="shared" si="40"/>
        <v>0</v>
      </c>
      <c r="AV25" s="51" t="e">
        <f t="shared" si="12"/>
        <v>#DIV/0!</v>
      </c>
      <c r="AW25" s="117"/>
      <c r="AX25" s="37">
        <f t="shared" si="41"/>
        <v>0</v>
      </c>
      <c r="AY25" s="51" t="e">
        <f t="shared" si="13"/>
        <v>#DIV/0!</v>
      </c>
      <c r="AZ25" s="118"/>
      <c r="BA25" s="37">
        <f t="shared" si="37"/>
        <v>0</v>
      </c>
      <c r="BB25" s="51" t="e">
        <f t="shared" si="14"/>
        <v>#DIV/0!</v>
      </c>
      <c r="BC25" s="118"/>
      <c r="BD25" s="37">
        <f t="shared" si="38"/>
        <v>0</v>
      </c>
      <c r="BE25" s="51" t="e">
        <f t="shared" si="15"/>
        <v>#DIV/0!</v>
      </c>
      <c r="BF25" s="118"/>
      <c r="BG25" s="37">
        <f t="shared" si="39"/>
        <v>0</v>
      </c>
      <c r="BH25" s="51" t="e">
        <f t="shared" si="16"/>
        <v>#DIV/0!</v>
      </c>
    </row>
    <row r="26" spans="1:60" ht="24.95" customHeight="1" thickBot="1" x14ac:dyDescent="0.4">
      <c r="A26" s="143">
        <f t="shared" si="24"/>
        <v>46135</v>
      </c>
      <c r="B26" s="144">
        <f t="shared" si="25"/>
        <v>46135</v>
      </c>
      <c r="C26" s="112">
        <v>70744</v>
      </c>
      <c r="D26" s="138">
        <f t="shared" si="26"/>
        <v>1950621</v>
      </c>
      <c r="E26" s="114">
        <v>95000</v>
      </c>
      <c r="F26" s="43">
        <f t="shared" si="42"/>
        <v>2185000</v>
      </c>
      <c r="G26" s="115">
        <v>86892</v>
      </c>
      <c r="H26" s="112"/>
      <c r="I26" s="43">
        <f t="shared" si="28"/>
        <v>0</v>
      </c>
      <c r="J26" s="43">
        <f t="shared" si="0"/>
        <v>-95000</v>
      </c>
      <c r="K26" s="43">
        <f t="shared" si="29"/>
        <v>-2185000</v>
      </c>
      <c r="L26" s="113"/>
      <c r="M26" s="43">
        <f t="shared" si="17"/>
        <v>0</v>
      </c>
      <c r="N26" s="44">
        <f t="shared" si="1"/>
        <v>-1</v>
      </c>
      <c r="O26" s="43">
        <f t="shared" si="2"/>
        <v>-86892</v>
      </c>
      <c r="P26" s="45">
        <f t="shared" si="3"/>
        <v>-1</v>
      </c>
      <c r="Q26" s="44">
        <f t="shared" si="4"/>
        <v>-1</v>
      </c>
      <c r="R26" s="140"/>
      <c r="S26" s="172" t="e">
        <f t="shared" si="5"/>
        <v>#DIV/0!</v>
      </c>
      <c r="T26" s="179">
        <v>296</v>
      </c>
      <c r="U26" s="47">
        <f t="shared" si="30"/>
        <v>7338</v>
      </c>
      <c r="V26" s="116">
        <v>340</v>
      </c>
      <c r="W26" s="47">
        <f t="shared" si="31"/>
        <v>7820</v>
      </c>
      <c r="X26" s="115"/>
      <c r="Y26" s="46">
        <f t="shared" si="32"/>
        <v>0</v>
      </c>
      <c r="Z26" s="46">
        <f t="shared" si="33"/>
        <v>-7820</v>
      </c>
      <c r="AA26" s="46">
        <f t="shared" si="18"/>
        <v>-7338</v>
      </c>
      <c r="AB26" s="52">
        <f t="shared" si="19"/>
        <v>-1</v>
      </c>
      <c r="AC26" s="48">
        <f t="shared" si="6"/>
        <v>239</v>
      </c>
      <c r="AD26" s="48">
        <f t="shared" si="7"/>
        <v>279.41176470588238</v>
      </c>
      <c r="AE26" s="48" t="e">
        <f t="shared" si="8"/>
        <v>#DIV/0!</v>
      </c>
      <c r="AF26" s="48" t="e">
        <f t="shared" si="20"/>
        <v>#DIV/0!</v>
      </c>
      <c r="AG26" s="112"/>
      <c r="AH26" s="112">
        <v>88</v>
      </c>
      <c r="AI26" s="49">
        <f t="shared" si="34"/>
        <v>2024</v>
      </c>
      <c r="AJ26" s="49">
        <f t="shared" si="21"/>
        <v>48</v>
      </c>
      <c r="AK26" s="112"/>
      <c r="AL26" s="112">
        <v>0</v>
      </c>
      <c r="AM26" s="49">
        <f t="shared" si="22"/>
        <v>0</v>
      </c>
      <c r="AN26" s="49">
        <f t="shared" si="35"/>
        <v>0</v>
      </c>
      <c r="AO26" s="49">
        <f t="shared" si="23"/>
        <v>-88</v>
      </c>
      <c r="AP26" s="49">
        <f t="shared" si="9"/>
        <v>4032</v>
      </c>
      <c r="AQ26" s="49">
        <f t="shared" si="36"/>
        <v>92736</v>
      </c>
      <c r="AR26" s="50">
        <f t="shared" si="10"/>
        <v>0</v>
      </c>
      <c r="AS26" s="170" t="e">
        <f t="shared" si="11"/>
        <v>#DIV/0!</v>
      </c>
      <c r="AT26" s="117"/>
      <c r="AU26" s="37">
        <f t="shared" si="40"/>
        <v>0</v>
      </c>
      <c r="AV26" s="51" t="e">
        <f t="shared" si="12"/>
        <v>#DIV/0!</v>
      </c>
      <c r="AW26" s="117"/>
      <c r="AX26" s="37">
        <f t="shared" si="41"/>
        <v>0</v>
      </c>
      <c r="AY26" s="51" t="e">
        <f t="shared" si="13"/>
        <v>#DIV/0!</v>
      </c>
      <c r="AZ26" s="118"/>
      <c r="BA26" s="37">
        <f t="shared" si="37"/>
        <v>0</v>
      </c>
      <c r="BB26" s="51" t="e">
        <f t="shared" si="14"/>
        <v>#DIV/0!</v>
      </c>
      <c r="BC26" s="118"/>
      <c r="BD26" s="37">
        <f t="shared" si="38"/>
        <v>0</v>
      </c>
      <c r="BE26" s="51" t="e">
        <f t="shared" si="15"/>
        <v>#DIV/0!</v>
      </c>
      <c r="BF26" s="118"/>
      <c r="BG26" s="37">
        <f t="shared" si="39"/>
        <v>0</v>
      </c>
      <c r="BH26" s="51" t="e">
        <f t="shared" si="16"/>
        <v>#DIV/0!</v>
      </c>
    </row>
    <row r="27" spans="1:60" ht="24.95" customHeight="1" thickBot="1" x14ac:dyDescent="0.4">
      <c r="A27" s="143">
        <f t="shared" si="24"/>
        <v>46136</v>
      </c>
      <c r="B27" s="144">
        <f t="shared" si="25"/>
        <v>46136</v>
      </c>
      <c r="C27" s="112">
        <v>100706</v>
      </c>
      <c r="D27" s="138">
        <f>C27+D26</f>
        <v>2051327</v>
      </c>
      <c r="E27" s="114">
        <v>95000</v>
      </c>
      <c r="F27" s="43">
        <f t="shared" si="42"/>
        <v>2280000</v>
      </c>
      <c r="G27" s="115">
        <v>93274</v>
      </c>
      <c r="H27" s="112"/>
      <c r="I27" s="43">
        <f t="shared" si="28"/>
        <v>0</v>
      </c>
      <c r="J27" s="43">
        <f t="shared" si="0"/>
        <v>-95000</v>
      </c>
      <c r="K27" s="43">
        <f t="shared" si="29"/>
        <v>-2280000</v>
      </c>
      <c r="L27" s="113"/>
      <c r="M27" s="43">
        <f t="shared" si="17"/>
        <v>0</v>
      </c>
      <c r="N27" s="44">
        <f t="shared" si="1"/>
        <v>-1</v>
      </c>
      <c r="O27" s="43">
        <f t="shared" si="2"/>
        <v>-93274</v>
      </c>
      <c r="P27" s="45">
        <f t="shared" si="3"/>
        <v>-1</v>
      </c>
      <c r="Q27" s="44">
        <f t="shared" si="4"/>
        <v>-1</v>
      </c>
      <c r="R27" s="140"/>
      <c r="S27" s="172" t="e">
        <f t="shared" si="5"/>
        <v>#DIV/0!</v>
      </c>
      <c r="T27" s="179">
        <v>326</v>
      </c>
      <c r="U27" s="47">
        <f t="shared" si="30"/>
        <v>7664</v>
      </c>
      <c r="V27" s="116">
        <v>340</v>
      </c>
      <c r="W27" s="47">
        <f t="shared" si="31"/>
        <v>8160</v>
      </c>
      <c r="X27" s="115"/>
      <c r="Y27" s="46">
        <f t="shared" si="32"/>
        <v>0</v>
      </c>
      <c r="Z27" s="46">
        <f t="shared" si="33"/>
        <v>-8160</v>
      </c>
      <c r="AA27" s="46">
        <f t="shared" si="18"/>
        <v>-7664</v>
      </c>
      <c r="AB27" s="52">
        <f t="shared" si="19"/>
        <v>-1</v>
      </c>
      <c r="AC27" s="48">
        <f t="shared" si="6"/>
        <v>308.91411042944787</v>
      </c>
      <c r="AD27" s="48">
        <f t="shared" si="7"/>
        <v>279.41176470588238</v>
      </c>
      <c r="AE27" s="48" t="e">
        <f>H27/X27</f>
        <v>#DIV/0!</v>
      </c>
      <c r="AF27" s="48" t="e">
        <f t="shared" si="20"/>
        <v>#DIV/0!</v>
      </c>
      <c r="AG27" s="112"/>
      <c r="AH27" s="112">
        <v>88</v>
      </c>
      <c r="AI27" s="49">
        <f t="shared" si="34"/>
        <v>2112</v>
      </c>
      <c r="AJ27" s="49">
        <f t="shared" si="21"/>
        <v>48</v>
      </c>
      <c r="AK27" s="112"/>
      <c r="AL27" s="112">
        <v>0</v>
      </c>
      <c r="AM27" s="49">
        <f t="shared" si="22"/>
        <v>0</v>
      </c>
      <c r="AN27" s="49">
        <f t="shared" si="35"/>
        <v>0</v>
      </c>
      <c r="AO27" s="49">
        <f t="shared" si="23"/>
        <v>-88</v>
      </c>
      <c r="AP27" s="49">
        <f t="shared" si="9"/>
        <v>4032</v>
      </c>
      <c r="AQ27" s="49">
        <f t="shared" si="36"/>
        <v>96768</v>
      </c>
      <c r="AR27" s="50">
        <f t="shared" si="10"/>
        <v>0</v>
      </c>
      <c r="AS27" s="170" t="e">
        <f t="shared" si="11"/>
        <v>#DIV/0!</v>
      </c>
      <c r="AT27" s="117"/>
      <c r="AU27" s="37">
        <f t="shared" si="40"/>
        <v>0</v>
      </c>
      <c r="AV27" s="51" t="e">
        <f t="shared" si="12"/>
        <v>#DIV/0!</v>
      </c>
      <c r="AW27" s="117"/>
      <c r="AX27" s="37">
        <f t="shared" si="41"/>
        <v>0</v>
      </c>
      <c r="AY27" s="51" t="e">
        <f t="shared" si="13"/>
        <v>#DIV/0!</v>
      </c>
      <c r="AZ27" s="118"/>
      <c r="BA27" s="37">
        <f t="shared" si="37"/>
        <v>0</v>
      </c>
      <c r="BB27" s="51" t="e">
        <f t="shared" si="14"/>
        <v>#DIV/0!</v>
      </c>
      <c r="BC27" s="118"/>
      <c r="BD27" s="37">
        <f t="shared" si="38"/>
        <v>0</v>
      </c>
      <c r="BE27" s="51" t="e">
        <f t="shared" si="15"/>
        <v>#DIV/0!</v>
      </c>
      <c r="BF27" s="118"/>
      <c r="BG27" s="37">
        <f t="shared" si="39"/>
        <v>0</v>
      </c>
      <c r="BH27" s="51" t="e">
        <f t="shared" si="16"/>
        <v>#DIV/0!</v>
      </c>
    </row>
    <row r="28" spans="1:60" s="32" customFormat="1" ht="24.75" customHeight="1" thickBot="1" x14ac:dyDescent="0.4">
      <c r="A28" s="143">
        <f t="shared" si="24"/>
        <v>46137</v>
      </c>
      <c r="B28" s="144">
        <f t="shared" si="25"/>
        <v>46137</v>
      </c>
      <c r="C28" s="112">
        <v>114843</v>
      </c>
      <c r="D28" s="138">
        <f t="shared" si="26"/>
        <v>2166170</v>
      </c>
      <c r="E28" s="114">
        <v>95000</v>
      </c>
      <c r="F28" s="43">
        <f>E28+F27</f>
        <v>2375000</v>
      </c>
      <c r="G28" s="115">
        <v>100705</v>
      </c>
      <c r="H28" s="112"/>
      <c r="I28" s="43">
        <f t="shared" si="28"/>
        <v>0</v>
      </c>
      <c r="J28" s="43">
        <f t="shared" si="0"/>
        <v>-95000</v>
      </c>
      <c r="K28" s="43">
        <f t="shared" si="29"/>
        <v>-2375000</v>
      </c>
      <c r="L28" s="113"/>
      <c r="M28" s="43">
        <f t="shared" si="17"/>
        <v>0</v>
      </c>
      <c r="N28" s="44">
        <f t="shared" si="1"/>
        <v>-1</v>
      </c>
      <c r="O28" s="43">
        <f t="shared" si="2"/>
        <v>-100705</v>
      </c>
      <c r="P28" s="45">
        <f t="shared" si="3"/>
        <v>-1</v>
      </c>
      <c r="Q28" s="44">
        <f t="shared" si="4"/>
        <v>-1</v>
      </c>
      <c r="R28" s="140"/>
      <c r="S28" s="172" t="e">
        <f t="shared" si="5"/>
        <v>#DIV/0!</v>
      </c>
      <c r="T28" s="179">
        <v>462</v>
      </c>
      <c r="U28" s="47">
        <f t="shared" si="30"/>
        <v>8126</v>
      </c>
      <c r="V28" s="116">
        <v>340</v>
      </c>
      <c r="W28" s="47">
        <f t="shared" si="31"/>
        <v>8500</v>
      </c>
      <c r="X28" s="115"/>
      <c r="Y28" s="46">
        <f t="shared" si="32"/>
        <v>0</v>
      </c>
      <c r="Z28" s="46">
        <f t="shared" si="33"/>
        <v>-8500</v>
      </c>
      <c r="AA28" s="46">
        <f t="shared" si="18"/>
        <v>-8126</v>
      </c>
      <c r="AB28" s="52">
        <f t="shared" si="19"/>
        <v>-1</v>
      </c>
      <c r="AC28" s="48">
        <f t="shared" si="6"/>
        <v>248.57792207792207</v>
      </c>
      <c r="AD28" s="48">
        <f t="shared" si="7"/>
        <v>279.41176470588238</v>
      </c>
      <c r="AE28" s="48" t="e">
        <f t="shared" si="8"/>
        <v>#DIV/0!</v>
      </c>
      <c r="AF28" s="48" t="e">
        <f t="shared" si="20"/>
        <v>#DIV/0!</v>
      </c>
      <c r="AG28" s="112"/>
      <c r="AH28" s="112">
        <v>88</v>
      </c>
      <c r="AI28" s="49">
        <f t="shared" si="34"/>
        <v>2200</v>
      </c>
      <c r="AJ28" s="49">
        <f t="shared" si="21"/>
        <v>48</v>
      </c>
      <c r="AK28" s="112"/>
      <c r="AL28" s="112">
        <v>0</v>
      </c>
      <c r="AM28" s="49">
        <f t="shared" si="22"/>
        <v>0</v>
      </c>
      <c r="AN28" s="49">
        <f t="shared" si="35"/>
        <v>0</v>
      </c>
      <c r="AO28" s="49">
        <f t="shared" si="23"/>
        <v>-88</v>
      </c>
      <c r="AP28" s="49">
        <f t="shared" si="9"/>
        <v>4032</v>
      </c>
      <c r="AQ28" s="49">
        <f t="shared" si="36"/>
        <v>100800</v>
      </c>
      <c r="AR28" s="50">
        <f t="shared" si="10"/>
        <v>0</v>
      </c>
      <c r="AS28" s="170" t="e">
        <f t="shared" si="11"/>
        <v>#DIV/0!</v>
      </c>
      <c r="AT28" s="117"/>
      <c r="AU28" s="37">
        <f t="shared" si="40"/>
        <v>0</v>
      </c>
      <c r="AV28" s="51" t="e">
        <f t="shared" si="12"/>
        <v>#DIV/0!</v>
      </c>
      <c r="AW28" s="117"/>
      <c r="AX28" s="37">
        <f t="shared" si="41"/>
        <v>0</v>
      </c>
      <c r="AY28" s="51" t="e">
        <f t="shared" si="13"/>
        <v>#DIV/0!</v>
      </c>
      <c r="AZ28" s="118"/>
      <c r="BA28" s="37">
        <f t="shared" si="37"/>
        <v>0</v>
      </c>
      <c r="BB28" s="51" t="e">
        <f t="shared" si="14"/>
        <v>#DIV/0!</v>
      </c>
      <c r="BC28" s="118"/>
      <c r="BD28" s="37">
        <f t="shared" si="38"/>
        <v>0</v>
      </c>
      <c r="BE28" s="51" t="e">
        <f t="shared" si="15"/>
        <v>#DIV/0!</v>
      </c>
      <c r="BF28" s="118"/>
      <c r="BG28" s="37">
        <f t="shared" si="39"/>
        <v>0</v>
      </c>
      <c r="BH28" s="51" t="e">
        <f t="shared" si="16"/>
        <v>#DIV/0!</v>
      </c>
    </row>
    <row r="29" spans="1:60" s="32" customFormat="1" ht="24.95" customHeight="1" thickBot="1" x14ac:dyDescent="0.4">
      <c r="A29" s="143">
        <f t="shared" si="24"/>
        <v>46138</v>
      </c>
      <c r="B29" s="144">
        <f t="shared" si="25"/>
        <v>46138</v>
      </c>
      <c r="C29" s="112">
        <v>96626</v>
      </c>
      <c r="D29" s="138">
        <f t="shared" si="26"/>
        <v>2262796</v>
      </c>
      <c r="E29" s="114">
        <v>95000</v>
      </c>
      <c r="F29" s="43">
        <f t="shared" si="42"/>
        <v>2470000</v>
      </c>
      <c r="G29" s="115">
        <v>89463</v>
      </c>
      <c r="H29" s="112"/>
      <c r="I29" s="43">
        <f t="shared" si="28"/>
        <v>0</v>
      </c>
      <c r="J29" s="43">
        <f t="shared" si="0"/>
        <v>-95000</v>
      </c>
      <c r="K29" s="43">
        <f t="shared" si="29"/>
        <v>-2470000</v>
      </c>
      <c r="L29" s="113"/>
      <c r="M29" s="43">
        <f t="shared" si="17"/>
        <v>0</v>
      </c>
      <c r="N29" s="44">
        <f t="shared" si="1"/>
        <v>-1</v>
      </c>
      <c r="O29" s="43">
        <f t="shared" si="2"/>
        <v>-89463</v>
      </c>
      <c r="P29" s="45">
        <f t="shared" si="3"/>
        <v>-1</v>
      </c>
      <c r="Q29" s="44">
        <f t="shared" si="4"/>
        <v>-1</v>
      </c>
      <c r="R29" s="140"/>
      <c r="S29" s="172" t="e">
        <f t="shared" si="5"/>
        <v>#DIV/0!</v>
      </c>
      <c r="T29" s="179">
        <v>383</v>
      </c>
      <c r="U29" s="47">
        <f t="shared" si="30"/>
        <v>8509</v>
      </c>
      <c r="V29" s="116">
        <v>340</v>
      </c>
      <c r="W29" s="47">
        <f t="shared" si="31"/>
        <v>8840</v>
      </c>
      <c r="X29" s="115"/>
      <c r="Y29" s="46">
        <f t="shared" si="32"/>
        <v>0</v>
      </c>
      <c r="Z29" s="46">
        <f t="shared" si="33"/>
        <v>-8840</v>
      </c>
      <c r="AA29" s="46">
        <f t="shared" si="18"/>
        <v>-8509</v>
      </c>
      <c r="AB29" s="52">
        <f t="shared" si="19"/>
        <v>-1</v>
      </c>
      <c r="AC29" s="48">
        <f t="shared" si="6"/>
        <v>252.28720626631855</v>
      </c>
      <c r="AD29" s="48">
        <f t="shared" si="7"/>
        <v>279.41176470588238</v>
      </c>
      <c r="AE29" s="48" t="e">
        <f t="shared" si="8"/>
        <v>#DIV/0!</v>
      </c>
      <c r="AF29" s="48" t="e">
        <f t="shared" si="20"/>
        <v>#DIV/0!</v>
      </c>
      <c r="AG29" s="112"/>
      <c r="AH29" s="112">
        <v>88</v>
      </c>
      <c r="AI29" s="49">
        <f t="shared" si="34"/>
        <v>2288</v>
      </c>
      <c r="AJ29" s="49">
        <f t="shared" si="21"/>
        <v>48</v>
      </c>
      <c r="AK29" s="112"/>
      <c r="AL29" s="112">
        <v>0</v>
      </c>
      <c r="AM29" s="49">
        <f t="shared" si="22"/>
        <v>0</v>
      </c>
      <c r="AN29" s="49">
        <f t="shared" si="35"/>
        <v>0</v>
      </c>
      <c r="AO29" s="49">
        <f t="shared" si="23"/>
        <v>-88</v>
      </c>
      <c r="AP29" s="49">
        <f t="shared" si="9"/>
        <v>4032</v>
      </c>
      <c r="AQ29" s="49">
        <f t="shared" si="36"/>
        <v>104832</v>
      </c>
      <c r="AR29" s="50">
        <f t="shared" si="10"/>
        <v>0</v>
      </c>
      <c r="AS29" s="170" t="e">
        <f t="shared" si="11"/>
        <v>#DIV/0!</v>
      </c>
      <c r="AT29" s="117"/>
      <c r="AU29" s="37">
        <f t="shared" si="40"/>
        <v>0</v>
      </c>
      <c r="AV29" s="51" t="e">
        <f t="shared" si="12"/>
        <v>#DIV/0!</v>
      </c>
      <c r="AW29" s="117"/>
      <c r="AX29" s="37">
        <f t="shared" si="41"/>
        <v>0</v>
      </c>
      <c r="AY29" s="51" t="e">
        <f t="shared" si="13"/>
        <v>#DIV/0!</v>
      </c>
      <c r="AZ29" s="118"/>
      <c r="BA29" s="37">
        <f t="shared" si="37"/>
        <v>0</v>
      </c>
      <c r="BB29" s="51" t="e">
        <f t="shared" si="14"/>
        <v>#DIV/0!</v>
      </c>
      <c r="BC29" s="118"/>
      <c r="BD29" s="37">
        <f t="shared" si="38"/>
        <v>0</v>
      </c>
      <c r="BE29" s="51" t="e">
        <f t="shared" si="15"/>
        <v>#DIV/0!</v>
      </c>
      <c r="BF29" s="118"/>
      <c r="BG29" s="37">
        <f t="shared" si="39"/>
        <v>0</v>
      </c>
      <c r="BH29" s="51" t="e">
        <f t="shared" si="16"/>
        <v>#DIV/0!</v>
      </c>
    </row>
    <row r="30" spans="1:60" ht="24.95" customHeight="1" thickBot="1" x14ac:dyDescent="0.4">
      <c r="A30" s="143">
        <f t="shared" si="24"/>
        <v>46139</v>
      </c>
      <c r="B30" s="144">
        <f t="shared" si="25"/>
        <v>46139</v>
      </c>
      <c r="C30" s="112">
        <v>100208</v>
      </c>
      <c r="D30" s="138">
        <f t="shared" si="26"/>
        <v>2363004</v>
      </c>
      <c r="E30" s="114">
        <v>95000</v>
      </c>
      <c r="F30" s="43">
        <f t="shared" si="42"/>
        <v>2565000</v>
      </c>
      <c r="G30" s="115">
        <v>84722</v>
      </c>
      <c r="H30" s="112"/>
      <c r="I30" s="43">
        <f>H30+I29</f>
        <v>0</v>
      </c>
      <c r="J30" s="43">
        <f>H30-E30</f>
        <v>-95000</v>
      </c>
      <c r="K30" s="43">
        <f t="shared" si="29"/>
        <v>-2565000</v>
      </c>
      <c r="L30" s="113"/>
      <c r="M30" s="43">
        <f t="shared" si="17"/>
        <v>0</v>
      </c>
      <c r="N30" s="44">
        <f t="shared" si="1"/>
        <v>-1</v>
      </c>
      <c r="O30" s="43">
        <f>H30-G30</f>
        <v>-84722</v>
      </c>
      <c r="P30" s="45">
        <f t="shared" si="3"/>
        <v>-1</v>
      </c>
      <c r="Q30" s="44">
        <f t="shared" si="4"/>
        <v>-1</v>
      </c>
      <c r="R30" s="140"/>
      <c r="S30" s="172" t="e">
        <f>R30/H30</f>
        <v>#DIV/0!</v>
      </c>
      <c r="T30" s="179">
        <v>410</v>
      </c>
      <c r="U30" s="47">
        <f t="shared" si="30"/>
        <v>8919</v>
      </c>
      <c r="V30" s="116">
        <v>340</v>
      </c>
      <c r="W30" s="47">
        <f t="shared" si="31"/>
        <v>9180</v>
      </c>
      <c r="X30" s="115"/>
      <c r="Y30" s="46">
        <f t="shared" si="32"/>
        <v>0</v>
      </c>
      <c r="Z30" s="46">
        <f>Y30-W30</f>
        <v>-9180</v>
      </c>
      <c r="AA30" s="46">
        <f>Y30-U30</f>
        <v>-8919</v>
      </c>
      <c r="AB30" s="52">
        <f t="shared" si="19"/>
        <v>-1</v>
      </c>
      <c r="AC30" s="48">
        <f t="shared" si="6"/>
        <v>244.40975609756097</v>
      </c>
      <c r="AD30" s="48">
        <f t="shared" si="7"/>
        <v>279.41176470588238</v>
      </c>
      <c r="AE30" s="48" t="e">
        <f>H30/X30</f>
        <v>#DIV/0!</v>
      </c>
      <c r="AF30" s="48" t="e">
        <f t="shared" si="20"/>
        <v>#DIV/0!</v>
      </c>
      <c r="AG30" s="112"/>
      <c r="AH30" s="112">
        <v>88</v>
      </c>
      <c r="AI30" s="49">
        <f t="shared" si="34"/>
        <v>2376</v>
      </c>
      <c r="AJ30" s="49">
        <f t="shared" si="21"/>
        <v>48</v>
      </c>
      <c r="AK30" s="112"/>
      <c r="AL30" s="112">
        <v>0</v>
      </c>
      <c r="AM30" s="49">
        <f t="shared" si="22"/>
        <v>0</v>
      </c>
      <c r="AN30" s="49">
        <f>AM30+AN29</f>
        <v>0</v>
      </c>
      <c r="AO30" s="49">
        <f t="shared" si="23"/>
        <v>-88</v>
      </c>
      <c r="AP30" s="49">
        <f t="shared" si="9"/>
        <v>4032</v>
      </c>
      <c r="AQ30" s="49">
        <f t="shared" si="36"/>
        <v>108864</v>
      </c>
      <c r="AR30" s="50">
        <f t="shared" si="10"/>
        <v>0</v>
      </c>
      <c r="AS30" s="170" t="e">
        <f t="shared" si="11"/>
        <v>#DIV/0!</v>
      </c>
      <c r="AT30" s="117"/>
      <c r="AU30" s="37">
        <f t="shared" si="40"/>
        <v>0</v>
      </c>
      <c r="AV30" s="51" t="e">
        <f t="shared" si="12"/>
        <v>#DIV/0!</v>
      </c>
      <c r="AW30" s="117"/>
      <c r="AX30" s="37">
        <f t="shared" si="41"/>
        <v>0</v>
      </c>
      <c r="AY30" s="51" t="e">
        <f t="shared" si="13"/>
        <v>#DIV/0!</v>
      </c>
      <c r="AZ30" s="118"/>
      <c r="BA30" s="37">
        <f t="shared" si="37"/>
        <v>0</v>
      </c>
      <c r="BB30" s="51" t="e">
        <f t="shared" si="14"/>
        <v>#DIV/0!</v>
      </c>
      <c r="BC30" s="118"/>
      <c r="BD30" s="37">
        <f t="shared" si="38"/>
        <v>0</v>
      </c>
      <c r="BE30" s="51" t="e">
        <f t="shared" si="15"/>
        <v>#DIV/0!</v>
      </c>
      <c r="BF30" s="118"/>
      <c r="BG30" s="37">
        <f t="shared" si="39"/>
        <v>0</v>
      </c>
      <c r="BH30" s="51" t="e">
        <f t="shared" si="16"/>
        <v>#DIV/0!</v>
      </c>
    </row>
    <row r="31" spans="1:60" ht="24.95" customHeight="1" thickBot="1" x14ac:dyDescent="0.4">
      <c r="A31" s="143">
        <f t="shared" si="24"/>
        <v>46140</v>
      </c>
      <c r="B31" s="144">
        <f t="shared" si="25"/>
        <v>46140</v>
      </c>
      <c r="C31" s="112">
        <v>99156</v>
      </c>
      <c r="D31" s="138">
        <f t="shared" si="26"/>
        <v>2462160</v>
      </c>
      <c r="E31" s="114">
        <v>95000</v>
      </c>
      <c r="F31" s="43">
        <f t="shared" si="42"/>
        <v>2660000</v>
      </c>
      <c r="G31" s="115">
        <v>81857</v>
      </c>
      <c r="H31" s="112"/>
      <c r="I31" s="43">
        <f>H31+I30</f>
        <v>0</v>
      </c>
      <c r="J31" s="43">
        <f>H31-E31</f>
        <v>-95000</v>
      </c>
      <c r="K31" s="43">
        <f t="shared" si="29"/>
        <v>-2660000</v>
      </c>
      <c r="L31" s="113"/>
      <c r="M31" s="43">
        <f t="shared" si="17"/>
        <v>0</v>
      </c>
      <c r="N31" s="44">
        <f t="shared" si="1"/>
        <v>-1</v>
      </c>
      <c r="O31" s="43">
        <f>H31-G31</f>
        <v>-81857</v>
      </c>
      <c r="P31" s="45">
        <f t="shared" si="3"/>
        <v>-1</v>
      </c>
      <c r="Q31" s="44">
        <f t="shared" si="4"/>
        <v>-1</v>
      </c>
      <c r="R31" s="140"/>
      <c r="S31" s="172" t="e">
        <f>R31/H31</f>
        <v>#DIV/0!</v>
      </c>
      <c r="T31" s="179">
        <v>348</v>
      </c>
      <c r="U31" s="47">
        <f t="shared" si="30"/>
        <v>9267</v>
      </c>
      <c r="V31" s="116">
        <v>340</v>
      </c>
      <c r="W31" s="47">
        <f t="shared" si="31"/>
        <v>9520</v>
      </c>
      <c r="X31" s="115"/>
      <c r="Y31" s="46">
        <f t="shared" si="32"/>
        <v>0</v>
      </c>
      <c r="Z31" s="46">
        <f>Y31-W31</f>
        <v>-9520</v>
      </c>
      <c r="AA31" s="46">
        <f>Y31-U31</f>
        <v>-9267</v>
      </c>
      <c r="AB31" s="52">
        <f t="shared" si="19"/>
        <v>-1</v>
      </c>
      <c r="AC31" s="48">
        <f t="shared" si="6"/>
        <v>284.93103448275861</v>
      </c>
      <c r="AD31" s="48">
        <f t="shared" si="7"/>
        <v>279.41176470588238</v>
      </c>
      <c r="AE31" s="48" t="e">
        <f>H31/X31</f>
        <v>#DIV/0!</v>
      </c>
      <c r="AF31" s="48" t="e">
        <f t="shared" si="20"/>
        <v>#DIV/0!</v>
      </c>
      <c r="AG31" s="112"/>
      <c r="AH31" s="112">
        <v>88</v>
      </c>
      <c r="AI31" s="49">
        <f>AH31+AI30</f>
        <v>2464</v>
      </c>
      <c r="AJ31" s="49">
        <f t="shared" si="21"/>
        <v>48</v>
      </c>
      <c r="AK31" s="112"/>
      <c r="AL31" s="112">
        <v>0</v>
      </c>
      <c r="AM31" s="49">
        <f t="shared" si="22"/>
        <v>0</v>
      </c>
      <c r="AN31" s="49">
        <f>AM31+AN30</f>
        <v>0</v>
      </c>
      <c r="AO31" s="49">
        <f t="shared" si="23"/>
        <v>-88</v>
      </c>
      <c r="AP31" s="49">
        <f t="shared" si="9"/>
        <v>4032</v>
      </c>
      <c r="AQ31" s="49">
        <f>SUM(AP31,AQ30)</f>
        <v>112896</v>
      </c>
      <c r="AR31" s="50">
        <f t="shared" si="10"/>
        <v>0</v>
      </c>
      <c r="AS31" s="170" t="e">
        <f t="shared" si="11"/>
        <v>#DIV/0!</v>
      </c>
      <c r="AT31" s="117"/>
      <c r="AU31" s="37">
        <f t="shared" si="40"/>
        <v>0</v>
      </c>
      <c r="AV31" s="51" t="e">
        <f t="shared" si="12"/>
        <v>#DIV/0!</v>
      </c>
      <c r="AW31" s="117"/>
      <c r="AX31" s="37">
        <f t="shared" si="41"/>
        <v>0</v>
      </c>
      <c r="AY31" s="51" t="e">
        <f t="shared" si="13"/>
        <v>#DIV/0!</v>
      </c>
      <c r="AZ31" s="118"/>
      <c r="BA31" s="37">
        <f t="shared" si="37"/>
        <v>0</v>
      </c>
      <c r="BB31" s="51" t="e">
        <f t="shared" si="14"/>
        <v>#DIV/0!</v>
      </c>
      <c r="BC31" s="118"/>
      <c r="BD31" s="37">
        <f t="shared" si="38"/>
        <v>0</v>
      </c>
      <c r="BE31" s="51" t="e">
        <f t="shared" si="15"/>
        <v>#DIV/0!</v>
      </c>
      <c r="BF31" s="118"/>
      <c r="BG31" s="37">
        <f t="shared" si="39"/>
        <v>0</v>
      </c>
      <c r="BH31" s="51" t="e">
        <f t="shared" si="16"/>
        <v>#DIV/0!</v>
      </c>
    </row>
    <row r="32" spans="1:60" ht="24.95" customHeight="1" thickBot="1" x14ac:dyDescent="0.4">
      <c r="A32" s="143">
        <f t="shared" si="24"/>
        <v>46141</v>
      </c>
      <c r="B32" s="144">
        <f t="shared" si="25"/>
        <v>46141</v>
      </c>
      <c r="C32" s="112">
        <v>83023</v>
      </c>
      <c r="D32" s="138">
        <f t="shared" si="26"/>
        <v>2545183</v>
      </c>
      <c r="E32" s="114">
        <v>95000</v>
      </c>
      <c r="F32" s="43">
        <f t="shared" si="42"/>
        <v>2755000</v>
      </c>
      <c r="G32" s="115">
        <v>84739</v>
      </c>
      <c r="H32" s="112"/>
      <c r="I32" s="43">
        <f>H32+I31</f>
        <v>0</v>
      </c>
      <c r="J32" s="43">
        <f>H32-E32</f>
        <v>-95000</v>
      </c>
      <c r="K32" s="43">
        <f t="shared" si="29"/>
        <v>-2755000</v>
      </c>
      <c r="L32" s="113"/>
      <c r="M32" s="43">
        <f t="shared" si="17"/>
        <v>0</v>
      </c>
      <c r="N32" s="44">
        <f t="shared" si="1"/>
        <v>-1</v>
      </c>
      <c r="O32" s="43">
        <f>H32-G32</f>
        <v>-84739</v>
      </c>
      <c r="P32" s="45">
        <f t="shared" si="3"/>
        <v>-1</v>
      </c>
      <c r="Q32" s="44">
        <f t="shared" si="4"/>
        <v>-1</v>
      </c>
      <c r="R32" s="140"/>
      <c r="S32" s="172" t="e">
        <f>R32/H32</f>
        <v>#DIV/0!</v>
      </c>
      <c r="T32" s="179">
        <v>320</v>
      </c>
      <c r="U32" s="47">
        <f t="shared" si="30"/>
        <v>9587</v>
      </c>
      <c r="V32" s="116">
        <v>340</v>
      </c>
      <c r="W32" s="47">
        <f t="shared" si="31"/>
        <v>9860</v>
      </c>
      <c r="X32" s="115"/>
      <c r="Y32" s="46">
        <f t="shared" si="32"/>
        <v>0</v>
      </c>
      <c r="Z32" s="46">
        <f>Y32-W32</f>
        <v>-9860</v>
      </c>
      <c r="AA32" s="46">
        <f>Y32-U32</f>
        <v>-9587</v>
      </c>
      <c r="AB32" s="52">
        <f t="shared" si="19"/>
        <v>-1</v>
      </c>
      <c r="AC32" s="48">
        <f t="shared" si="6"/>
        <v>259.44687499999998</v>
      </c>
      <c r="AD32" s="48">
        <f t="shared" si="7"/>
        <v>279.41176470588238</v>
      </c>
      <c r="AE32" s="48" t="e">
        <f>H32/X32</f>
        <v>#DIV/0!</v>
      </c>
      <c r="AF32" s="48" t="e">
        <f t="shared" si="20"/>
        <v>#DIV/0!</v>
      </c>
      <c r="AG32" s="112"/>
      <c r="AH32" s="112">
        <v>88</v>
      </c>
      <c r="AI32" s="49">
        <f>AH32+AI31</f>
        <v>2552</v>
      </c>
      <c r="AJ32" s="49">
        <f t="shared" si="21"/>
        <v>48</v>
      </c>
      <c r="AK32" s="112"/>
      <c r="AL32" s="112">
        <v>0</v>
      </c>
      <c r="AM32" s="49">
        <f t="shared" si="22"/>
        <v>0</v>
      </c>
      <c r="AN32" s="49">
        <f>AM32+AN31</f>
        <v>0</v>
      </c>
      <c r="AO32" s="49">
        <f t="shared" si="23"/>
        <v>-88</v>
      </c>
      <c r="AP32" s="49">
        <f t="shared" si="9"/>
        <v>4032</v>
      </c>
      <c r="AQ32" s="49">
        <f>SUM(AP32,AQ31)</f>
        <v>116928</v>
      </c>
      <c r="AR32" s="50">
        <f t="shared" si="10"/>
        <v>0</v>
      </c>
      <c r="AS32" s="170" t="e">
        <f t="shared" si="11"/>
        <v>#DIV/0!</v>
      </c>
      <c r="AT32" s="117"/>
      <c r="AU32" s="37">
        <f t="shared" si="40"/>
        <v>0</v>
      </c>
      <c r="AV32" s="51" t="e">
        <f t="shared" si="12"/>
        <v>#DIV/0!</v>
      </c>
      <c r="AW32" s="117"/>
      <c r="AX32" s="37">
        <f t="shared" si="41"/>
        <v>0</v>
      </c>
      <c r="AY32" s="51" t="e">
        <f t="shared" si="13"/>
        <v>#DIV/0!</v>
      </c>
      <c r="AZ32" s="118"/>
      <c r="BA32" s="37">
        <f t="shared" si="37"/>
        <v>0</v>
      </c>
      <c r="BB32" s="51" t="e">
        <f t="shared" si="14"/>
        <v>#DIV/0!</v>
      </c>
      <c r="BC32" s="118"/>
      <c r="BD32" s="37">
        <f t="shared" si="38"/>
        <v>0</v>
      </c>
      <c r="BE32" s="51" t="e">
        <f t="shared" si="15"/>
        <v>#DIV/0!</v>
      </c>
      <c r="BF32" s="118"/>
      <c r="BG32" s="37">
        <f t="shared" si="39"/>
        <v>0</v>
      </c>
      <c r="BH32" s="51" t="e">
        <f t="shared" si="16"/>
        <v>#DIV/0!</v>
      </c>
    </row>
    <row r="33" spans="1:60" ht="24.95" customHeight="1" thickBot="1" x14ac:dyDescent="0.4">
      <c r="A33" s="143">
        <f>B33</f>
        <v>46142</v>
      </c>
      <c r="B33" s="144">
        <f>B32+1</f>
        <v>46142</v>
      </c>
      <c r="C33" s="112">
        <v>98658</v>
      </c>
      <c r="D33" s="138">
        <f t="shared" si="26"/>
        <v>2643841</v>
      </c>
      <c r="E33" s="114">
        <v>95000</v>
      </c>
      <c r="F33" s="43">
        <f t="shared" si="42"/>
        <v>2850000</v>
      </c>
      <c r="G33" s="115">
        <v>86892</v>
      </c>
      <c r="H33" s="112"/>
      <c r="I33" s="43">
        <f t="shared" si="28"/>
        <v>0</v>
      </c>
      <c r="J33" s="43">
        <f t="shared" si="0"/>
        <v>-95000</v>
      </c>
      <c r="K33" s="43">
        <f t="shared" si="29"/>
        <v>-2850000</v>
      </c>
      <c r="L33" s="113"/>
      <c r="M33" s="43">
        <f t="shared" si="17"/>
        <v>0</v>
      </c>
      <c r="N33" s="44">
        <f t="shared" si="1"/>
        <v>-1</v>
      </c>
      <c r="O33" s="43">
        <f t="shared" si="2"/>
        <v>-86892</v>
      </c>
      <c r="P33" s="45">
        <f t="shared" si="3"/>
        <v>-1</v>
      </c>
      <c r="Q33" s="44">
        <f t="shared" si="4"/>
        <v>-1</v>
      </c>
      <c r="R33" s="140"/>
      <c r="S33" s="172" t="e">
        <f t="shared" si="5"/>
        <v>#DIV/0!</v>
      </c>
      <c r="T33" s="179">
        <v>345</v>
      </c>
      <c r="U33" s="47">
        <f t="shared" si="30"/>
        <v>9932</v>
      </c>
      <c r="V33" s="116">
        <v>340</v>
      </c>
      <c r="W33" s="47">
        <f t="shared" si="31"/>
        <v>10200</v>
      </c>
      <c r="X33" s="115"/>
      <c r="Y33" s="46">
        <f t="shared" si="32"/>
        <v>0</v>
      </c>
      <c r="Z33" s="46">
        <f>Y33-W33</f>
        <v>-10200</v>
      </c>
      <c r="AA33" s="46">
        <f>Y33-U33</f>
        <v>-9932</v>
      </c>
      <c r="AB33" s="52">
        <f t="shared" si="19"/>
        <v>-1</v>
      </c>
      <c r="AC33" s="48">
        <f t="shared" si="6"/>
        <v>285.96521739130435</v>
      </c>
      <c r="AD33" s="48">
        <f t="shared" si="7"/>
        <v>279.41176470588238</v>
      </c>
      <c r="AE33" s="48" t="e">
        <f t="shared" si="8"/>
        <v>#DIV/0!</v>
      </c>
      <c r="AF33" s="48" t="e">
        <f t="shared" si="20"/>
        <v>#DIV/0!</v>
      </c>
      <c r="AG33" s="112"/>
      <c r="AH33" s="112">
        <v>88</v>
      </c>
      <c r="AI33" s="49">
        <f>AH33+AI32</f>
        <v>2640</v>
      </c>
      <c r="AJ33" s="49">
        <f t="shared" si="21"/>
        <v>48</v>
      </c>
      <c r="AK33" s="112"/>
      <c r="AL33" s="112">
        <v>0</v>
      </c>
      <c r="AM33" s="49">
        <f t="shared" si="22"/>
        <v>0</v>
      </c>
      <c r="AN33" s="49">
        <f>AM33+AN32</f>
        <v>0</v>
      </c>
      <c r="AO33" s="49">
        <f t="shared" si="23"/>
        <v>-88</v>
      </c>
      <c r="AP33" s="49">
        <f t="shared" si="9"/>
        <v>4032</v>
      </c>
      <c r="AQ33" s="49">
        <f>SUM(AP33,AQ32)</f>
        <v>120960</v>
      </c>
      <c r="AR33" s="50">
        <f t="shared" si="10"/>
        <v>0</v>
      </c>
      <c r="AS33" s="170" t="e">
        <f>Y33/AN33</f>
        <v>#DIV/0!</v>
      </c>
      <c r="AT33" s="117"/>
      <c r="AU33" s="37">
        <f t="shared" si="40"/>
        <v>0</v>
      </c>
      <c r="AV33" s="51" t="e">
        <f t="shared" si="12"/>
        <v>#DIV/0!</v>
      </c>
      <c r="AW33" s="117"/>
      <c r="AX33" s="37">
        <f t="shared" si="41"/>
        <v>0</v>
      </c>
      <c r="AY33" s="51" t="e">
        <f t="shared" si="13"/>
        <v>#DIV/0!</v>
      </c>
      <c r="AZ33" s="118"/>
      <c r="BA33" s="37">
        <f t="shared" si="37"/>
        <v>0</v>
      </c>
      <c r="BB33" s="51" t="e">
        <f t="shared" si="14"/>
        <v>#DIV/0!</v>
      </c>
      <c r="BC33" s="118"/>
      <c r="BD33" s="37">
        <f t="shared" si="38"/>
        <v>0</v>
      </c>
      <c r="BE33" s="51" t="e">
        <f t="shared" si="15"/>
        <v>#DIV/0!</v>
      </c>
      <c r="BF33" s="118"/>
      <c r="BG33" s="37">
        <f t="shared" si="39"/>
        <v>0</v>
      </c>
      <c r="BH33" s="51" t="e">
        <f t="shared" si="16"/>
        <v>#DIV/0!</v>
      </c>
    </row>
    <row r="34" spans="1:60" ht="24.95" customHeight="1" thickBot="1" x14ac:dyDescent="0.4">
      <c r="A34" s="143">
        <f>B34</f>
        <v>46143</v>
      </c>
      <c r="B34" s="144">
        <f t="shared" si="25"/>
        <v>46143</v>
      </c>
      <c r="C34" s="112"/>
      <c r="D34" s="138">
        <f t="shared" si="26"/>
        <v>2643841</v>
      </c>
      <c r="E34" s="114"/>
      <c r="F34" s="43">
        <f t="shared" si="42"/>
        <v>2850000</v>
      </c>
      <c r="G34" s="115"/>
      <c r="H34" s="112"/>
      <c r="I34" s="43">
        <f t="shared" si="28"/>
        <v>0</v>
      </c>
      <c r="J34" s="43">
        <f t="shared" si="0"/>
        <v>0</v>
      </c>
      <c r="K34" s="43">
        <f t="shared" si="29"/>
        <v>-2850000</v>
      </c>
      <c r="L34" s="113"/>
      <c r="M34" s="43">
        <f t="shared" si="17"/>
        <v>0</v>
      </c>
      <c r="N34" s="44">
        <f t="shared" si="1"/>
        <v>-1</v>
      </c>
      <c r="O34" s="43">
        <f t="shared" si="2"/>
        <v>0</v>
      </c>
      <c r="P34" s="45">
        <f t="shared" si="3"/>
        <v>0</v>
      </c>
      <c r="Q34" s="44">
        <f t="shared" si="4"/>
        <v>-1</v>
      </c>
      <c r="R34" s="140"/>
      <c r="S34" s="172" t="e">
        <f t="shared" si="5"/>
        <v>#DIV/0!</v>
      </c>
      <c r="T34" s="179"/>
      <c r="U34" s="47">
        <f t="shared" si="30"/>
        <v>9932</v>
      </c>
      <c r="V34" s="116"/>
      <c r="W34" s="47">
        <f t="shared" si="31"/>
        <v>10200</v>
      </c>
      <c r="X34" s="115"/>
      <c r="Y34" s="46">
        <f t="shared" si="32"/>
        <v>0</v>
      </c>
      <c r="Z34" s="46">
        <f>Y34-W34</f>
        <v>-10200</v>
      </c>
      <c r="AA34" s="46">
        <f>Y34-U34</f>
        <v>-9932</v>
      </c>
      <c r="AB34" s="52">
        <f t="shared" si="19"/>
        <v>-1</v>
      </c>
      <c r="AC34" s="48" t="e">
        <f t="shared" si="6"/>
        <v>#DIV/0!</v>
      </c>
      <c r="AD34" s="48" t="e">
        <f t="shared" si="7"/>
        <v>#DIV/0!</v>
      </c>
      <c r="AE34" s="48" t="e">
        <f t="shared" si="8"/>
        <v>#DIV/0!</v>
      </c>
      <c r="AF34" s="48" t="e">
        <f t="shared" si="20"/>
        <v>#DIV/0!</v>
      </c>
      <c r="AG34" s="112"/>
      <c r="AH34" s="112"/>
      <c r="AI34" s="49">
        <f>AH34+AI33</f>
        <v>2640</v>
      </c>
      <c r="AJ34" s="49">
        <f t="shared" si="21"/>
        <v>48</v>
      </c>
      <c r="AK34" s="112"/>
      <c r="AL34" s="112">
        <v>0</v>
      </c>
      <c r="AM34" s="49">
        <f t="shared" si="22"/>
        <v>0</v>
      </c>
      <c r="AN34" s="49">
        <f>AM34+AN33</f>
        <v>0</v>
      </c>
      <c r="AO34" s="49">
        <f t="shared" si="23"/>
        <v>0</v>
      </c>
      <c r="AP34" s="49">
        <f t="shared" si="9"/>
        <v>4032</v>
      </c>
      <c r="AQ34" s="49">
        <f>SUM(AP34,AQ33)</f>
        <v>124992</v>
      </c>
      <c r="AR34" s="50">
        <f t="shared" si="10"/>
        <v>0</v>
      </c>
      <c r="AS34" s="170" t="e">
        <f>Y34/AN34</f>
        <v>#DIV/0!</v>
      </c>
      <c r="AT34" s="117"/>
      <c r="AU34" s="37">
        <f t="shared" si="40"/>
        <v>0</v>
      </c>
      <c r="AV34" s="51" t="e">
        <f t="shared" si="12"/>
        <v>#DIV/0!</v>
      </c>
      <c r="AW34" s="117"/>
      <c r="AX34" s="37">
        <f t="shared" si="41"/>
        <v>0</v>
      </c>
      <c r="AY34" s="51" t="e">
        <f t="shared" si="13"/>
        <v>#DIV/0!</v>
      </c>
      <c r="AZ34" s="118"/>
      <c r="BA34" s="37">
        <f t="shared" si="37"/>
        <v>0</v>
      </c>
      <c r="BB34" s="51" t="e">
        <f t="shared" si="14"/>
        <v>#DIV/0!</v>
      </c>
      <c r="BC34" s="118"/>
      <c r="BD34" s="37">
        <f t="shared" si="38"/>
        <v>0</v>
      </c>
      <c r="BE34" s="51" t="e">
        <f t="shared" si="15"/>
        <v>#DIV/0!</v>
      </c>
      <c r="BF34" s="118"/>
      <c r="BG34" s="37">
        <f t="shared" si="39"/>
        <v>0</v>
      </c>
      <c r="BH34" s="51" t="e">
        <f t="shared" si="16"/>
        <v>#DIV/0!</v>
      </c>
    </row>
    <row r="35" spans="1:60" ht="30" customHeight="1" thickBot="1" x14ac:dyDescent="0.3">
      <c r="A35" s="271" t="s">
        <v>38</v>
      </c>
      <c r="B35" s="271"/>
      <c r="C35" s="53">
        <f>SUM(C4:C34)</f>
        <v>2643841</v>
      </c>
      <c r="D35" s="139">
        <f>D34</f>
        <v>2643841</v>
      </c>
      <c r="E35" s="53">
        <f>SUM(E4:E34)</f>
        <v>2850000</v>
      </c>
      <c r="F35" s="53">
        <f>F34</f>
        <v>2850000</v>
      </c>
      <c r="G35" s="53">
        <f>SUM(G4:G34)</f>
        <v>2655101</v>
      </c>
      <c r="H35" s="53">
        <f>SUM(H4:H34)</f>
        <v>0</v>
      </c>
      <c r="I35" s="53"/>
      <c r="J35" s="53">
        <f>SUM(J4:J34)</f>
        <v>-2850000</v>
      </c>
      <c r="K35" s="53"/>
      <c r="L35" s="53">
        <f>SUM(L5:L34)</f>
        <v>0</v>
      </c>
      <c r="M35" s="53"/>
      <c r="N35" s="54">
        <f>H35/F35</f>
        <v>0</v>
      </c>
      <c r="O35" s="53">
        <f>SUM(O4:O34)</f>
        <v>-2655101</v>
      </c>
      <c r="P35" s="53"/>
      <c r="Q35" s="53"/>
      <c r="R35" s="53">
        <f>SUM(R4:R34)</f>
        <v>0</v>
      </c>
      <c r="S35" s="128" t="e">
        <f t="shared" si="5"/>
        <v>#DIV/0!</v>
      </c>
      <c r="T35" s="53">
        <f>SUM(T4:T34)</f>
        <v>9932</v>
      </c>
      <c r="U35" s="53">
        <f>U34</f>
        <v>9932</v>
      </c>
      <c r="V35" s="53">
        <f>SUM(V4:V34)</f>
        <v>10200</v>
      </c>
      <c r="W35" s="53">
        <f>W34</f>
        <v>10200</v>
      </c>
      <c r="X35" s="53">
        <f>SUM(X4:X34)</f>
        <v>0</v>
      </c>
      <c r="Y35" s="53">
        <f>Y34</f>
        <v>0</v>
      </c>
      <c r="Z35" s="53">
        <f>SUM(Z4:Z34)</f>
        <v>-168300</v>
      </c>
      <c r="AA35" s="53">
        <f>AA34</f>
        <v>-9932</v>
      </c>
      <c r="AB35" s="54">
        <f>AB34</f>
        <v>-1</v>
      </c>
      <c r="AC35" s="53">
        <f t="shared" si="6"/>
        <v>266.19422070076519</v>
      </c>
      <c r="AD35" s="53">
        <f t="shared" si="7"/>
        <v>279.41176470588238</v>
      </c>
      <c r="AE35" s="53" t="e">
        <f t="shared" si="8"/>
        <v>#DIV/0!</v>
      </c>
      <c r="AF35" s="55" t="e">
        <f>AE35-AD35</f>
        <v>#DIV/0!</v>
      </c>
      <c r="AG35" s="53">
        <f>SUM(AG4:AG34)</f>
        <v>0</v>
      </c>
      <c r="AH35" s="53">
        <f>SUM(AH4:AH34)</f>
        <v>2640</v>
      </c>
      <c r="AI35" s="53">
        <f>AI34</f>
        <v>2640</v>
      </c>
      <c r="AJ35" s="53">
        <f>SUM(AJ4:AJ34)</f>
        <v>1488</v>
      </c>
      <c r="AK35" s="53">
        <f>SUM(AK4:AK34)</f>
        <v>0</v>
      </c>
      <c r="AL35" s="53">
        <f>SUM(AL4:AL34)</f>
        <v>0</v>
      </c>
      <c r="AM35" s="53">
        <f>SUM(AM4:AM34)</f>
        <v>0</v>
      </c>
      <c r="AN35" s="53">
        <f>AN34</f>
        <v>0</v>
      </c>
      <c r="AO35" s="53">
        <f>SUM(AK35:AL35)-AH35</f>
        <v>-2640</v>
      </c>
      <c r="AP35" s="53">
        <f>SUM(AP4:AP34)</f>
        <v>124992</v>
      </c>
      <c r="AQ35" s="53"/>
      <c r="AR35" s="56" t="e">
        <f>AP35/H35</f>
        <v>#DIV/0!</v>
      </c>
      <c r="AS35" s="57" t="e">
        <f>Y35/AN35</f>
        <v>#DIV/0!</v>
      </c>
      <c r="AT35" s="58">
        <f>SUM(AT4:AT34)</f>
        <v>0</v>
      </c>
      <c r="AU35" s="58">
        <f>AU34</f>
        <v>0</v>
      </c>
      <c r="AV35" s="59" t="e">
        <f t="shared" si="12"/>
        <v>#DIV/0!</v>
      </c>
      <c r="AW35" s="58">
        <f>SUM(AW4:AW34)</f>
        <v>0</v>
      </c>
      <c r="AX35" s="58">
        <f>AX34</f>
        <v>0</v>
      </c>
      <c r="AY35" s="59" t="e">
        <f t="shared" si="13"/>
        <v>#DIV/0!</v>
      </c>
      <c r="AZ35" s="58">
        <f>SUM(AZ4:AZ34)</f>
        <v>0</v>
      </c>
      <c r="BA35" s="58">
        <f>BA34</f>
        <v>0</v>
      </c>
      <c r="BB35" s="59" t="e">
        <f t="shared" si="14"/>
        <v>#DIV/0!</v>
      </c>
      <c r="BC35" s="58">
        <f>SUM(BC4:BC34)</f>
        <v>0</v>
      </c>
      <c r="BD35" s="58">
        <f>BD34</f>
        <v>0</v>
      </c>
      <c r="BE35" s="59" t="e">
        <f t="shared" si="15"/>
        <v>#DIV/0!</v>
      </c>
      <c r="BF35" s="58">
        <f>SUM(BF4:BF34)</f>
        <v>0</v>
      </c>
      <c r="BG35" s="58">
        <f>BG34</f>
        <v>0</v>
      </c>
      <c r="BH35" s="59" t="e">
        <f t="shared" si="16"/>
        <v>#DIV/0!</v>
      </c>
    </row>
    <row r="36" spans="1:60" x14ac:dyDescent="0.25">
      <c r="A36" s="26"/>
      <c r="B36" s="26"/>
      <c r="C36" s="26"/>
      <c r="D36" s="26"/>
      <c r="E36" s="26"/>
      <c r="F36" s="26"/>
      <c r="G36" s="26"/>
      <c r="H36" s="26"/>
      <c r="I36" s="26"/>
      <c r="J36" s="26"/>
      <c r="K36" s="26"/>
      <c r="L36" s="26"/>
      <c r="M36" s="26"/>
      <c r="N36" s="26"/>
      <c r="O36" s="26"/>
      <c r="P36" s="26"/>
      <c r="Q36" s="26"/>
      <c r="R36" s="26"/>
      <c r="S36" s="26"/>
      <c r="T36" s="26"/>
      <c r="U36" s="26"/>
      <c r="V36" s="26"/>
      <c r="W36" s="26"/>
      <c r="X36" s="26"/>
      <c r="Y36" s="26"/>
      <c r="Z36" s="26"/>
      <c r="AA36" s="26"/>
      <c r="AB36" s="26"/>
      <c r="AC36" s="26"/>
      <c r="AD36" s="26"/>
      <c r="AE36" s="26"/>
      <c r="AF36" s="26"/>
      <c r="AG36" s="26"/>
      <c r="AH36" s="26"/>
      <c r="AI36" s="26"/>
      <c r="AJ36" s="26"/>
      <c r="AK36" s="26"/>
      <c r="AL36" s="27"/>
      <c r="AM36" s="27"/>
      <c r="AN36" s="27"/>
      <c r="AO36" s="27"/>
      <c r="AP36" s="26"/>
      <c r="AQ36" s="28"/>
      <c r="AR36" s="28"/>
      <c r="AS36" s="27"/>
    </row>
    <row r="37" spans="1:60" x14ac:dyDescent="0.25">
      <c r="A37" s="269"/>
      <c r="B37" s="269"/>
      <c r="C37" s="269"/>
      <c r="D37" s="29"/>
      <c r="E37" s="26"/>
      <c r="F37" s="26"/>
      <c r="G37" s="33"/>
      <c r="H37" s="33"/>
      <c r="I37" s="33"/>
      <c r="J37" s="33"/>
      <c r="K37" s="33"/>
      <c r="L37" s="33"/>
      <c r="M37" s="33"/>
      <c r="N37" s="33"/>
      <c r="O37" s="33"/>
      <c r="P37" s="33"/>
      <c r="Q37" s="33"/>
      <c r="R37" s="33"/>
      <c r="S37" s="33"/>
      <c r="T37" s="33"/>
      <c r="U37" s="33"/>
      <c r="V37" s="33"/>
      <c r="W37" s="33"/>
      <c r="X37" s="33"/>
      <c r="Y37" s="33"/>
      <c r="Z37" s="33"/>
      <c r="AA37" s="33"/>
      <c r="AB37" s="33"/>
      <c r="AC37" s="33"/>
      <c r="AD37" s="33"/>
      <c r="AE37" s="33"/>
      <c r="AF37" s="33"/>
      <c r="AG37" s="33"/>
      <c r="AH37" s="33"/>
      <c r="AI37" s="34"/>
      <c r="AJ37" s="34"/>
      <c r="AK37" s="34"/>
      <c r="AL37" s="33"/>
      <c r="AM37" s="33"/>
      <c r="AN37" s="33"/>
      <c r="AO37" s="33"/>
      <c r="AP37" s="33"/>
      <c r="AQ37" s="33"/>
      <c r="AR37" s="33"/>
    </row>
    <row r="38" spans="1:60" x14ac:dyDescent="0.25">
      <c r="E38" s="26"/>
      <c r="F38" s="26"/>
      <c r="G38" s="33"/>
      <c r="H38" s="33"/>
      <c r="I38" s="33"/>
      <c r="J38" s="33"/>
      <c r="K38" s="33"/>
      <c r="L38" s="33"/>
      <c r="M38" s="33"/>
      <c r="N38" s="33"/>
      <c r="O38" s="33"/>
      <c r="P38" s="33"/>
      <c r="Q38" s="33"/>
      <c r="R38" s="33"/>
      <c r="S38" s="33"/>
      <c r="T38" s="33"/>
      <c r="U38" s="33"/>
      <c r="V38" s="33"/>
      <c r="W38" s="33"/>
      <c r="X38" s="33"/>
      <c r="Y38" s="33"/>
      <c r="Z38" s="33"/>
      <c r="AA38" s="33"/>
      <c r="AB38" s="33"/>
      <c r="AC38" s="33"/>
      <c r="AD38" s="33"/>
      <c r="AE38" s="33"/>
      <c r="AF38" s="33"/>
      <c r="AG38" s="33"/>
      <c r="AH38" s="33"/>
      <c r="AI38" s="33"/>
      <c r="AJ38" s="33"/>
      <c r="AK38" s="33"/>
      <c r="AL38" s="33"/>
      <c r="AM38" s="33"/>
      <c r="AN38" s="33"/>
      <c r="AO38" s="33"/>
      <c r="AP38" s="33"/>
      <c r="AQ38" s="33"/>
      <c r="AR38" s="33"/>
    </row>
    <row r="39" spans="1:60" x14ac:dyDescent="0.25">
      <c r="E39" s="26"/>
      <c r="F39" s="26"/>
      <c r="G39" s="33"/>
      <c r="H39" s="33"/>
      <c r="I39" s="33"/>
      <c r="J39" s="33"/>
      <c r="K39" s="33"/>
      <c r="L39" s="33"/>
      <c r="M39" s="33"/>
      <c r="N39" s="33"/>
      <c r="O39" s="33"/>
      <c r="P39" s="33"/>
      <c r="Q39" s="33"/>
      <c r="R39" s="33"/>
      <c r="S39" s="33"/>
      <c r="T39" s="33"/>
      <c r="U39" s="33"/>
      <c r="V39" s="33"/>
      <c r="W39" s="33"/>
      <c r="X39" s="33"/>
      <c r="Y39" s="33"/>
      <c r="Z39" s="33"/>
      <c r="AA39" s="33"/>
      <c r="AB39" s="33"/>
      <c r="AC39" s="33"/>
      <c r="AD39" s="33"/>
      <c r="AE39" s="33"/>
      <c r="AF39" s="33"/>
      <c r="AG39" s="33"/>
      <c r="AH39" s="33"/>
      <c r="AI39" s="33"/>
      <c r="AJ39" s="33"/>
      <c r="AK39" s="33"/>
      <c r="AL39" s="33"/>
      <c r="AM39" s="33"/>
      <c r="AN39" s="33"/>
      <c r="AO39" s="33"/>
      <c r="AP39" s="33"/>
      <c r="AQ39" s="33"/>
      <c r="AR39" s="33"/>
    </row>
    <row r="40" spans="1:60" x14ac:dyDescent="0.25">
      <c r="E40" s="26"/>
      <c r="F40" s="26"/>
      <c r="G40" s="33"/>
      <c r="H40" s="33"/>
      <c r="I40" s="33"/>
      <c r="J40" s="33"/>
      <c r="K40" s="33"/>
      <c r="L40" s="33"/>
      <c r="M40" s="33"/>
      <c r="N40" s="33"/>
      <c r="O40" s="33"/>
      <c r="P40" s="33"/>
      <c r="Q40" s="33"/>
      <c r="R40" s="33"/>
      <c r="S40" s="33"/>
      <c r="T40" s="33"/>
      <c r="U40" s="33"/>
      <c r="V40" s="33"/>
      <c r="W40" s="33"/>
      <c r="X40" s="33"/>
      <c r="Y40" s="33"/>
      <c r="Z40" s="33"/>
      <c r="AA40" s="33"/>
      <c r="AB40" s="33"/>
      <c r="AC40" s="33"/>
      <c r="AD40" s="33"/>
      <c r="AE40" s="33"/>
      <c r="AF40" s="33"/>
      <c r="AG40" s="33"/>
      <c r="AH40" s="33"/>
      <c r="AI40" s="33"/>
      <c r="AJ40" s="33"/>
      <c r="AK40" s="33"/>
      <c r="AL40" s="33"/>
      <c r="AM40" s="33"/>
      <c r="AN40" s="33"/>
      <c r="AO40" s="33"/>
      <c r="AP40" s="33"/>
      <c r="AQ40" s="33"/>
      <c r="AR40" s="33"/>
    </row>
    <row r="41" spans="1:60" x14ac:dyDescent="0.25">
      <c r="E41" s="26"/>
      <c r="F41" s="26"/>
      <c r="G41" s="33"/>
      <c r="H41" s="33"/>
      <c r="I41" s="33"/>
      <c r="J41" s="33"/>
      <c r="K41" s="33"/>
      <c r="L41" s="33"/>
      <c r="M41" s="33"/>
      <c r="N41" s="33"/>
      <c r="O41" s="33"/>
      <c r="P41" s="33"/>
      <c r="Q41" s="33"/>
      <c r="R41" s="33"/>
      <c r="S41" s="33"/>
      <c r="T41" s="33"/>
      <c r="U41" s="33"/>
      <c r="V41" s="33"/>
      <c r="W41" s="33"/>
      <c r="X41" s="33"/>
      <c r="Y41" s="33"/>
      <c r="Z41" s="33"/>
      <c r="AA41" s="33"/>
      <c r="AB41" s="33"/>
      <c r="AC41" s="33"/>
      <c r="AD41" s="33"/>
      <c r="AE41" s="33"/>
      <c r="AF41" s="33"/>
      <c r="AG41" s="33"/>
      <c r="AH41" s="33"/>
      <c r="AI41" s="33"/>
      <c r="AJ41" s="33"/>
      <c r="AK41" s="33"/>
      <c r="AL41" s="33"/>
      <c r="AM41" s="33"/>
      <c r="AN41" s="33"/>
      <c r="AO41" s="33"/>
      <c r="AP41" s="33"/>
      <c r="AQ41" s="33"/>
      <c r="AR41" s="33"/>
    </row>
    <row r="42" spans="1:60" x14ac:dyDescent="0.25">
      <c r="E42" s="26"/>
      <c r="F42" s="26"/>
      <c r="G42" s="33"/>
      <c r="H42" s="33"/>
      <c r="I42" s="33"/>
      <c r="J42" s="33"/>
      <c r="K42" s="33"/>
      <c r="L42" s="33"/>
      <c r="M42" s="33"/>
      <c r="N42" s="33"/>
      <c r="O42" s="33"/>
      <c r="P42" s="33"/>
      <c r="Q42" s="33"/>
      <c r="R42" s="33"/>
      <c r="S42" s="33"/>
      <c r="T42" s="33"/>
      <c r="U42" s="33"/>
      <c r="V42" s="33"/>
      <c r="W42" s="33"/>
      <c r="X42" s="33"/>
      <c r="Y42" s="33"/>
      <c r="Z42" s="33"/>
      <c r="AA42" s="33"/>
      <c r="AB42" s="33"/>
      <c r="AC42" s="33"/>
      <c r="AD42" s="33"/>
      <c r="AE42" s="33"/>
      <c r="AF42" s="33"/>
      <c r="AG42" s="33"/>
      <c r="AH42" s="33"/>
      <c r="AI42" s="33"/>
      <c r="AJ42" s="33"/>
      <c r="AK42" s="33"/>
      <c r="AL42" s="33"/>
      <c r="AM42" s="33"/>
      <c r="AN42" s="33"/>
      <c r="AO42" s="33"/>
      <c r="AP42" s="33"/>
      <c r="AQ42" s="33"/>
      <c r="AR42" s="33"/>
    </row>
    <row r="43" spans="1:60" x14ac:dyDescent="0.25">
      <c r="E43" s="26"/>
      <c r="F43" s="26"/>
      <c r="G43" s="33"/>
      <c r="H43" s="33"/>
      <c r="I43" s="33"/>
      <c r="J43" s="33"/>
      <c r="K43" s="33"/>
      <c r="L43" s="33"/>
      <c r="M43" s="33"/>
      <c r="N43" s="33"/>
      <c r="O43" s="33"/>
      <c r="P43" s="33"/>
      <c r="Q43" s="33"/>
      <c r="R43" s="33"/>
      <c r="S43" s="33"/>
      <c r="T43" s="33"/>
      <c r="U43" s="33"/>
      <c r="V43" s="33"/>
      <c r="W43" s="33"/>
      <c r="X43" s="33"/>
      <c r="Y43" s="33"/>
      <c r="Z43" s="33"/>
      <c r="AA43" s="33"/>
      <c r="AB43" s="33"/>
      <c r="AC43" s="33"/>
      <c r="AD43" s="33"/>
      <c r="AE43" s="33"/>
      <c r="AF43" s="33"/>
      <c r="AG43" s="33"/>
      <c r="AH43" s="33"/>
      <c r="AI43" s="33"/>
      <c r="AJ43" s="33"/>
      <c r="AK43" s="33"/>
      <c r="AL43" s="33"/>
      <c r="AM43" s="33"/>
      <c r="AN43" s="33"/>
      <c r="AO43" s="33"/>
      <c r="AP43" s="33"/>
      <c r="AQ43" s="33"/>
      <c r="AR43" s="33"/>
    </row>
    <row r="44" spans="1:60" x14ac:dyDescent="0.25">
      <c r="E44" s="26"/>
      <c r="F44" s="26"/>
      <c r="G44" s="33"/>
      <c r="H44" s="33"/>
      <c r="I44" s="33"/>
      <c r="J44" s="33"/>
      <c r="K44" s="33"/>
      <c r="L44" s="33"/>
      <c r="M44" s="33"/>
      <c r="N44" s="33"/>
      <c r="O44" s="33"/>
      <c r="P44" s="33"/>
      <c r="Q44" s="33"/>
      <c r="R44" s="33"/>
      <c r="S44" s="33"/>
      <c r="T44" s="33"/>
      <c r="U44" s="33"/>
      <c r="V44" s="33"/>
      <c r="W44" s="33"/>
      <c r="X44" s="33"/>
      <c r="Y44" s="33"/>
      <c r="Z44" s="33"/>
      <c r="AA44" s="33"/>
      <c r="AB44" s="33"/>
      <c r="AC44" s="33"/>
      <c r="AD44" s="33"/>
      <c r="AE44" s="33"/>
      <c r="AF44" s="33"/>
      <c r="AG44" s="33"/>
      <c r="AH44" s="33"/>
      <c r="AI44" s="33"/>
      <c r="AJ44" s="33"/>
      <c r="AK44" s="33"/>
      <c r="AL44" s="33"/>
      <c r="AM44" s="33"/>
      <c r="AN44" s="33"/>
      <c r="AO44" s="33"/>
      <c r="AP44" s="33"/>
      <c r="AQ44" s="33"/>
      <c r="AR44" s="33"/>
    </row>
    <row r="45" spans="1:60" x14ac:dyDescent="0.25">
      <c r="E45" s="26"/>
      <c r="F45" s="26"/>
      <c r="G45" s="33"/>
      <c r="H45" s="33"/>
      <c r="I45" s="33"/>
      <c r="J45" s="33"/>
      <c r="K45" s="33"/>
      <c r="L45" s="33"/>
      <c r="M45" s="33"/>
      <c r="N45" s="33"/>
      <c r="O45" s="33"/>
      <c r="P45" s="33"/>
      <c r="Q45" s="33"/>
      <c r="R45" s="33"/>
      <c r="S45" s="33"/>
      <c r="T45" s="33"/>
      <c r="U45" s="33"/>
      <c r="V45" s="33"/>
      <c r="W45" s="33"/>
      <c r="X45" s="33"/>
      <c r="Y45" s="33"/>
      <c r="Z45" s="33"/>
      <c r="AA45" s="33"/>
      <c r="AB45" s="33"/>
      <c r="AC45" s="33"/>
      <c r="AD45" s="33"/>
      <c r="AE45" s="33"/>
      <c r="AF45" s="33"/>
      <c r="AG45" s="33"/>
      <c r="AH45" s="33"/>
      <c r="AI45" s="33"/>
      <c r="AJ45" s="33"/>
      <c r="AK45" s="33"/>
      <c r="AL45" s="33"/>
      <c r="AM45" s="33"/>
      <c r="AN45" s="33"/>
      <c r="AO45" s="33"/>
      <c r="AP45" s="33"/>
      <c r="AQ45" s="33"/>
      <c r="AR45" s="33"/>
    </row>
    <row r="46" spans="1:60" x14ac:dyDescent="0.25">
      <c r="E46" s="26"/>
      <c r="F46" s="26"/>
      <c r="G46" s="33"/>
      <c r="H46" s="33"/>
      <c r="I46" s="33"/>
      <c r="J46" s="33"/>
      <c r="K46" s="33"/>
      <c r="L46" s="33"/>
      <c r="M46" s="33"/>
      <c r="N46" s="33"/>
      <c r="O46" s="33"/>
      <c r="P46" s="33"/>
      <c r="Q46" s="33"/>
      <c r="R46" s="33"/>
      <c r="S46" s="33"/>
      <c r="T46" s="33"/>
      <c r="U46" s="33"/>
      <c r="V46" s="33"/>
      <c r="W46" s="33"/>
      <c r="X46" s="33"/>
      <c r="Y46" s="33"/>
      <c r="Z46" s="33"/>
      <c r="AA46" s="33"/>
      <c r="AB46" s="33"/>
      <c r="AC46" s="33"/>
      <c r="AD46" s="33"/>
      <c r="AE46" s="33"/>
      <c r="AF46" s="33"/>
      <c r="AG46" s="33"/>
      <c r="AH46" s="33"/>
      <c r="AI46" s="33"/>
      <c r="AJ46" s="33"/>
      <c r="AK46" s="33"/>
      <c r="AL46" s="33"/>
      <c r="AM46" s="33"/>
      <c r="AN46" s="33"/>
      <c r="AO46" s="33"/>
      <c r="AP46" s="33"/>
      <c r="AQ46" s="33"/>
      <c r="AR46" s="33"/>
    </row>
    <row r="47" spans="1:60" x14ac:dyDescent="0.25">
      <c r="E47" s="26"/>
      <c r="F47" s="26"/>
      <c r="G47" s="33"/>
      <c r="H47" s="33"/>
      <c r="I47" s="33"/>
      <c r="J47" s="33"/>
      <c r="K47" s="33"/>
      <c r="L47" s="33"/>
      <c r="M47" s="33"/>
      <c r="N47" s="33"/>
      <c r="O47" s="33"/>
      <c r="P47" s="33"/>
      <c r="Q47" s="33"/>
      <c r="R47" s="33"/>
      <c r="S47" s="33"/>
      <c r="T47" s="33"/>
      <c r="U47" s="33"/>
      <c r="V47" s="33"/>
      <c r="W47" s="33"/>
      <c r="X47" s="33"/>
      <c r="Y47" s="33"/>
      <c r="Z47" s="33"/>
      <c r="AA47" s="33"/>
      <c r="AB47" s="33"/>
      <c r="AC47" s="33"/>
      <c r="AD47" s="33"/>
      <c r="AE47" s="33"/>
      <c r="AF47" s="33"/>
      <c r="AG47" s="33"/>
      <c r="AH47" s="33"/>
      <c r="AI47" s="33"/>
      <c r="AJ47" s="33"/>
      <c r="AK47" s="33"/>
      <c r="AL47" s="33"/>
      <c r="AM47" s="33"/>
      <c r="AN47" s="33"/>
      <c r="AO47" s="33"/>
      <c r="AP47" s="33"/>
      <c r="AQ47" s="33"/>
      <c r="AR47" s="33"/>
    </row>
    <row r="48" spans="1:60" x14ac:dyDescent="0.25">
      <c r="E48" s="26"/>
      <c r="F48" s="26"/>
      <c r="G48" s="33"/>
      <c r="H48" s="33"/>
      <c r="I48" s="33"/>
      <c r="J48" s="33"/>
      <c r="K48" s="33"/>
      <c r="L48" s="33"/>
      <c r="M48" s="33"/>
      <c r="N48" s="33"/>
      <c r="O48" s="33"/>
      <c r="P48" s="33"/>
      <c r="Q48" s="33"/>
      <c r="R48" s="33"/>
      <c r="S48" s="33"/>
      <c r="T48" s="33"/>
      <c r="U48" s="33"/>
      <c r="V48" s="33"/>
      <c r="W48" s="33"/>
      <c r="X48" s="33"/>
      <c r="Y48" s="33"/>
      <c r="Z48" s="33"/>
      <c r="AA48" s="33"/>
      <c r="AB48" s="33"/>
      <c r="AC48" s="33"/>
      <c r="AD48" s="33"/>
      <c r="AE48" s="33"/>
      <c r="AF48" s="33"/>
      <c r="AG48" s="33"/>
      <c r="AH48" s="33"/>
      <c r="AI48" s="33"/>
      <c r="AJ48" s="33"/>
      <c r="AK48" s="33"/>
      <c r="AL48" s="33"/>
      <c r="AM48" s="33"/>
      <c r="AN48" s="33"/>
      <c r="AO48" s="33"/>
      <c r="AP48" s="33"/>
      <c r="AQ48" s="33"/>
      <c r="AR48" s="33"/>
    </row>
    <row r="49" spans="5:44" x14ac:dyDescent="0.25">
      <c r="E49" s="26"/>
      <c r="F49" s="26"/>
      <c r="G49" s="33"/>
      <c r="H49" s="33"/>
      <c r="I49" s="33"/>
      <c r="J49" s="33"/>
      <c r="K49" s="33"/>
      <c r="L49" s="33"/>
      <c r="M49" s="33"/>
      <c r="N49" s="33"/>
      <c r="O49" s="33"/>
      <c r="P49" s="33"/>
      <c r="Q49" s="33"/>
      <c r="R49" s="33"/>
      <c r="S49" s="33"/>
      <c r="T49" s="33"/>
      <c r="U49" s="33"/>
      <c r="V49" s="33"/>
      <c r="W49" s="33"/>
      <c r="X49" s="33"/>
      <c r="Y49" s="33"/>
      <c r="Z49" s="33"/>
      <c r="AA49" s="33"/>
      <c r="AB49" s="33"/>
      <c r="AC49" s="33"/>
      <c r="AD49" s="33"/>
      <c r="AE49" s="33"/>
      <c r="AF49" s="33"/>
      <c r="AG49" s="33"/>
      <c r="AH49" s="33"/>
      <c r="AI49" s="33"/>
      <c r="AJ49" s="33"/>
      <c r="AK49" s="33"/>
      <c r="AL49" s="33"/>
      <c r="AM49" s="33"/>
      <c r="AN49" s="33"/>
      <c r="AO49" s="33"/>
      <c r="AP49" s="33"/>
      <c r="AQ49" s="33"/>
      <c r="AR49" s="33"/>
    </row>
    <row r="50" spans="5:44" x14ac:dyDescent="0.25">
      <c r="E50" s="26"/>
      <c r="F50" s="26"/>
      <c r="G50" s="33"/>
      <c r="H50" s="33"/>
      <c r="I50" s="33"/>
      <c r="J50" s="33"/>
      <c r="K50" s="33"/>
      <c r="L50" s="33"/>
      <c r="M50" s="33"/>
      <c r="N50" s="33"/>
      <c r="O50" s="33"/>
      <c r="P50" s="33"/>
      <c r="Q50" s="33"/>
      <c r="R50" s="33"/>
      <c r="S50" s="33"/>
      <c r="T50" s="33"/>
      <c r="U50" s="33"/>
      <c r="V50" s="33"/>
      <c r="W50" s="33"/>
      <c r="X50" s="33"/>
      <c r="Y50" s="33"/>
      <c r="Z50" s="33"/>
      <c r="AA50" s="33"/>
      <c r="AB50" s="33"/>
      <c r="AC50" s="33"/>
      <c r="AD50" s="33"/>
      <c r="AE50" s="33"/>
      <c r="AF50" s="33"/>
      <c r="AG50" s="33"/>
      <c r="AH50" s="33"/>
      <c r="AI50" s="33"/>
      <c r="AJ50" s="33"/>
      <c r="AK50" s="33"/>
      <c r="AL50" s="33"/>
      <c r="AM50" s="33"/>
      <c r="AN50" s="33"/>
      <c r="AO50" s="33"/>
      <c r="AP50" s="33"/>
      <c r="AQ50" s="33"/>
      <c r="AR50" s="33"/>
    </row>
    <row r="51" spans="5:44" x14ac:dyDescent="0.25">
      <c r="E51" s="26"/>
      <c r="F51" s="26"/>
      <c r="G51" s="33"/>
      <c r="H51" s="33"/>
      <c r="I51" s="33"/>
      <c r="J51" s="33"/>
      <c r="K51" s="33"/>
      <c r="L51" s="33"/>
      <c r="M51" s="33"/>
      <c r="N51" s="33"/>
      <c r="O51" s="33"/>
      <c r="P51" s="33"/>
      <c r="Q51" s="33"/>
      <c r="R51" s="33"/>
      <c r="S51" s="33"/>
      <c r="T51" s="33"/>
      <c r="U51" s="33"/>
      <c r="V51" s="33"/>
      <c r="W51" s="33"/>
      <c r="X51" s="33"/>
      <c r="Y51" s="33"/>
      <c r="Z51" s="33"/>
      <c r="AA51" s="33"/>
      <c r="AB51" s="33"/>
      <c r="AC51" s="33"/>
      <c r="AD51" s="33"/>
      <c r="AE51" s="33"/>
      <c r="AF51" s="33"/>
      <c r="AG51" s="33"/>
      <c r="AH51" s="33"/>
      <c r="AI51" s="33"/>
      <c r="AJ51" s="33"/>
      <c r="AK51" s="33"/>
      <c r="AL51" s="33"/>
      <c r="AM51" s="33"/>
      <c r="AN51" s="33"/>
      <c r="AO51" s="33"/>
      <c r="AP51" s="33"/>
      <c r="AQ51" s="33"/>
      <c r="AR51" s="33"/>
    </row>
    <row r="52" spans="5:44" x14ac:dyDescent="0.25">
      <c r="E52" s="26"/>
      <c r="F52" s="26"/>
      <c r="G52" s="33"/>
      <c r="H52" s="33"/>
      <c r="I52" s="33"/>
      <c r="J52" s="33"/>
      <c r="K52" s="33"/>
      <c r="L52" s="33"/>
      <c r="M52" s="33"/>
      <c r="N52" s="33"/>
      <c r="O52" s="33"/>
      <c r="P52" s="33"/>
      <c r="Q52" s="33"/>
      <c r="R52" s="33"/>
      <c r="S52" s="33"/>
      <c r="T52" s="33"/>
      <c r="U52" s="33"/>
      <c r="V52" s="33"/>
      <c r="W52" s="33"/>
      <c r="X52" s="33"/>
      <c r="Y52" s="33"/>
      <c r="Z52" s="33"/>
      <c r="AA52" s="33"/>
      <c r="AB52" s="33"/>
      <c r="AC52" s="33"/>
      <c r="AD52" s="33"/>
      <c r="AE52" s="33"/>
      <c r="AF52" s="33"/>
      <c r="AG52" s="33"/>
      <c r="AH52" s="33"/>
      <c r="AI52" s="33"/>
      <c r="AJ52" s="33"/>
      <c r="AK52" s="33"/>
      <c r="AL52" s="33"/>
      <c r="AM52" s="33"/>
      <c r="AN52" s="33"/>
      <c r="AO52" s="33"/>
      <c r="AP52" s="33"/>
      <c r="AQ52" s="33"/>
      <c r="AR52" s="33"/>
    </row>
    <row r="53" spans="5:44" x14ac:dyDescent="0.25">
      <c r="E53" s="26"/>
      <c r="F53" s="26"/>
      <c r="G53" s="33"/>
      <c r="H53" s="33"/>
      <c r="I53" s="33"/>
      <c r="J53" s="33"/>
      <c r="K53" s="33"/>
      <c r="L53" s="33"/>
      <c r="M53" s="33"/>
      <c r="N53" s="33"/>
      <c r="O53" s="33"/>
      <c r="P53" s="33"/>
      <c r="Q53" s="33"/>
      <c r="R53" s="33"/>
      <c r="S53" s="33"/>
      <c r="T53" s="33"/>
      <c r="U53" s="33"/>
      <c r="V53" s="33"/>
      <c r="W53" s="33"/>
      <c r="X53" s="33"/>
      <c r="Y53" s="33"/>
      <c r="Z53" s="33"/>
      <c r="AA53" s="33"/>
      <c r="AB53" s="33"/>
      <c r="AC53" s="33"/>
      <c r="AD53" s="33"/>
      <c r="AE53" s="33"/>
      <c r="AF53" s="33"/>
      <c r="AG53" s="33"/>
      <c r="AH53" s="33"/>
      <c r="AI53" s="33"/>
      <c r="AJ53" s="33"/>
      <c r="AK53" s="33"/>
      <c r="AL53" s="33"/>
      <c r="AM53" s="33"/>
      <c r="AN53" s="33"/>
      <c r="AO53" s="33"/>
      <c r="AP53" s="33"/>
      <c r="AQ53" s="33"/>
      <c r="AR53" s="33"/>
    </row>
    <row r="54" spans="5:44" x14ac:dyDescent="0.25">
      <c r="E54" s="26"/>
      <c r="F54" s="26"/>
      <c r="G54" s="33"/>
      <c r="H54" s="33"/>
      <c r="I54" s="33"/>
      <c r="J54" s="33"/>
      <c r="K54" s="33"/>
      <c r="L54" s="33"/>
      <c r="M54" s="33"/>
      <c r="N54" s="33"/>
      <c r="O54" s="33"/>
      <c r="P54" s="33"/>
      <c r="Q54" s="33"/>
      <c r="R54" s="33"/>
      <c r="S54" s="33"/>
      <c r="T54" s="33"/>
      <c r="U54" s="33"/>
      <c r="V54" s="33"/>
      <c r="W54" s="33"/>
      <c r="X54" s="33"/>
      <c r="Y54" s="33"/>
      <c r="Z54" s="33"/>
      <c r="AA54" s="33"/>
      <c r="AB54" s="33"/>
      <c r="AC54" s="33"/>
      <c r="AD54" s="33"/>
      <c r="AE54" s="33"/>
      <c r="AF54" s="33"/>
      <c r="AG54" s="33"/>
      <c r="AH54" s="33"/>
      <c r="AI54" s="33"/>
      <c r="AJ54" s="33"/>
      <c r="AK54" s="33"/>
      <c r="AL54" s="33"/>
      <c r="AM54" s="33"/>
      <c r="AN54" s="33"/>
      <c r="AO54" s="33"/>
      <c r="AP54" s="33"/>
      <c r="AQ54" s="33"/>
      <c r="AR54" s="33"/>
    </row>
    <row r="55" spans="5:44" x14ac:dyDescent="0.25">
      <c r="E55" s="26"/>
      <c r="F55" s="26"/>
      <c r="G55" s="33"/>
      <c r="H55" s="33"/>
      <c r="I55" s="33"/>
      <c r="J55" s="33"/>
      <c r="K55" s="33"/>
      <c r="L55" s="33"/>
      <c r="M55" s="33"/>
      <c r="N55" s="33"/>
      <c r="O55" s="33"/>
      <c r="P55" s="33"/>
      <c r="Q55" s="33"/>
      <c r="R55" s="33"/>
      <c r="S55" s="33"/>
      <c r="T55" s="33"/>
      <c r="U55" s="33"/>
      <c r="V55" s="33"/>
      <c r="W55" s="33"/>
      <c r="X55" s="33"/>
      <c r="Y55" s="33"/>
      <c r="Z55" s="33"/>
      <c r="AA55" s="33"/>
      <c r="AB55" s="33"/>
      <c r="AC55" s="33"/>
      <c r="AD55" s="33"/>
      <c r="AE55" s="33"/>
      <c r="AF55" s="33"/>
      <c r="AG55" s="33"/>
      <c r="AH55" s="33"/>
      <c r="AI55" s="33"/>
      <c r="AJ55" s="33"/>
      <c r="AK55" s="33"/>
      <c r="AL55" s="33"/>
      <c r="AM55" s="33"/>
      <c r="AN55" s="33"/>
      <c r="AO55" s="33"/>
      <c r="AP55" s="33"/>
      <c r="AQ55" s="33"/>
      <c r="AR55" s="33"/>
    </row>
    <row r="56" spans="5:44" x14ac:dyDescent="0.25">
      <c r="E56" s="26"/>
      <c r="F56" s="26"/>
      <c r="G56" s="33"/>
      <c r="H56" s="33"/>
      <c r="I56" s="33"/>
      <c r="J56" s="33"/>
      <c r="K56" s="33"/>
      <c r="L56" s="33"/>
      <c r="M56" s="33"/>
      <c r="N56" s="33"/>
      <c r="O56" s="33"/>
      <c r="P56" s="33"/>
      <c r="Q56" s="33"/>
      <c r="R56" s="33"/>
      <c r="S56" s="33"/>
      <c r="T56" s="33"/>
      <c r="U56" s="33"/>
      <c r="V56" s="33"/>
      <c r="W56" s="33"/>
      <c r="X56" s="33"/>
      <c r="Y56" s="33"/>
      <c r="Z56" s="33"/>
      <c r="AA56" s="33"/>
      <c r="AB56" s="33"/>
      <c r="AC56" s="33"/>
      <c r="AD56" s="33"/>
      <c r="AE56" s="33"/>
      <c r="AF56" s="33"/>
      <c r="AG56" s="33"/>
      <c r="AH56" s="33"/>
      <c r="AI56" s="33"/>
      <c r="AJ56" s="33"/>
      <c r="AK56" s="33"/>
      <c r="AL56" s="33"/>
      <c r="AM56" s="33"/>
      <c r="AN56" s="33"/>
      <c r="AO56" s="33"/>
      <c r="AP56" s="33"/>
      <c r="AQ56" s="33"/>
      <c r="AR56" s="33"/>
    </row>
    <row r="57" spans="5:44" x14ac:dyDescent="0.25">
      <c r="E57" s="26"/>
      <c r="F57" s="26"/>
      <c r="G57" s="33"/>
      <c r="H57" s="33"/>
      <c r="I57" s="33"/>
      <c r="J57" s="33"/>
      <c r="K57" s="33"/>
      <c r="L57" s="33"/>
      <c r="M57" s="33"/>
      <c r="N57" s="33"/>
      <c r="O57" s="33"/>
      <c r="P57" s="33"/>
      <c r="Q57" s="33"/>
      <c r="R57" s="33"/>
      <c r="S57" s="33"/>
      <c r="T57" s="33"/>
      <c r="U57" s="33"/>
      <c r="V57" s="33"/>
      <c r="W57" s="33"/>
      <c r="X57" s="33"/>
      <c r="Y57" s="33"/>
      <c r="Z57" s="33"/>
      <c r="AA57" s="33"/>
      <c r="AB57" s="33"/>
      <c r="AC57" s="33"/>
      <c r="AD57" s="33"/>
      <c r="AE57" s="33"/>
      <c r="AF57" s="33"/>
      <c r="AG57" s="33"/>
      <c r="AH57" s="33"/>
      <c r="AI57" s="33"/>
      <c r="AJ57" s="33"/>
      <c r="AK57" s="33"/>
      <c r="AL57" s="33"/>
      <c r="AM57" s="33"/>
      <c r="AN57" s="33"/>
      <c r="AO57" s="33"/>
      <c r="AP57" s="33"/>
      <c r="AQ57" s="33"/>
      <c r="AR57" s="33"/>
    </row>
    <row r="58" spans="5:44" x14ac:dyDescent="0.25">
      <c r="E58" s="26"/>
      <c r="F58" s="26"/>
      <c r="G58" s="33"/>
      <c r="H58" s="33"/>
      <c r="I58" s="33"/>
      <c r="J58" s="33"/>
      <c r="K58" s="33"/>
      <c r="L58" s="33"/>
      <c r="M58" s="33"/>
      <c r="N58" s="33"/>
      <c r="O58" s="33"/>
      <c r="P58" s="33"/>
      <c r="Q58" s="33"/>
      <c r="R58" s="33"/>
      <c r="S58" s="33"/>
      <c r="T58" s="33"/>
      <c r="U58" s="33"/>
      <c r="V58" s="33"/>
      <c r="W58" s="33"/>
      <c r="X58" s="33"/>
      <c r="Y58" s="33"/>
      <c r="Z58" s="33"/>
      <c r="AA58" s="33"/>
      <c r="AB58" s="33"/>
      <c r="AC58" s="33"/>
      <c r="AD58" s="33"/>
      <c r="AE58" s="33"/>
      <c r="AF58" s="33"/>
      <c r="AG58" s="33"/>
      <c r="AH58" s="33"/>
      <c r="AI58" s="33"/>
      <c r="AJ58" s="33"/>
      <c r="AK58" s="33"/>
      <c r="AL58" s="33"/>
      <c r="AM58" s="33"/>
      <c r="AN58" s="33"/>
      <c r="AO58" s="33"/>
      <c r="AP58" s="33"/>
      <c r="AQ58" s="33"/>
      <c r="AR58" s="33"/>
    </row>
    <row r="59" spans="5:44" x14ac:dyDescent="0.25">
      <c r="E59" s="26"/>
      <c r="F59" s="26"/>
      <c r="G59" s="33"/>
      <c r="H59" s="33"/>
      <c r="I59" s="33"/>
      <c r="J59" s="33"/>
      <c r="K59" s="33"/>
      <c r="L59" s="33"/>
      <c r="M59" s="33"/>
      <c r="N59" s="33"/>
      <c r="O59" s="33"/>
      <c r="P59" s="33"/>
      <c r="Q59" s="33"/>
      <c r="R59" s="33"/>
      <c r="S59" s="33"/>
      <c r="T59" s="33"/>
      <c r="U59" s="33"/>
      <c r="V59" s="33"/>
      <c r="W59" s="33"/>
      <c r="X59" s="33"/>
      <c r="Y59" s="33"/>
      <c r="Z59" s="33"/>
      <c r="AA59" s="33"/>
      <c r="AB59" s="33"/>
      <c r="AC59" s="33"/>
      <c r="AD59" s="33"/>
      <c r="AE59" s="33"/>
      <c r="AF59" s="33"/>
      <c r="AG59" s="33"/>
      <c r="AH59" s="33"/>
      <c r="AI59" s="33"/>
      <c r="AJ59" s="33"/>
      <c r="AK59" s="33"/>
      <c r="AL59" s="33"/>
      <c r="AM59" s="33"/>
      <c r="AN59" s="33"/>
      <c r="AO59" s="33"/>
      <c r="AP59" s="33"/>
      <c r="AQ59" s="33"/>
      <c r="AR59" s="33"/>
    </row>
    <row r="60" spans="5:44" x14ac:dyDescent="0.25">
      <c r="E60" s="26"/>
      <c r="F60" s="26"/>
      <c r="G60" s="33"/>
      <c r="H60" s="33"/>
      <c r="I60" s="33"/>
      <c r="J60" s="33"/>
      <c r="K60" s="33"/>
      <c r="L60" s="33"/>
      <c r="M60" s="33"/>
      <c r="N60" s="33"/>
      <c r="O60" s="33"/>
      <c r="P60" s="33"/>
      <c r="Q60" s="33"/>
      <c r="R60" s="33"/>
      <c r="S60" s="33"/>
      <c r="T60" s="33"/>
      <c r="U60" s="33"/>
      <c r="V60" s="33"/>
      <c r="W60" s="33"/>
      <c r="X60" s="33"/>
      <c r="Y60" s="33"/>
      <c r="Z60" s="33"/>
      <c r="AA60" s="33"/>
      <c r="AB60" s="33"/>
      <c r="AC60" s="33"/>
      <c r="AD60" s="33"/>
      <c r="AE60" s="33"/>
      <c r="AF60" s="33"/>
      <c r="AG60" s="33"/>
      <c r="AH60" s="33"/>
      <c r="AI60" s="33"/>
      <c r="AJ60" s="33"/>
      <c r="AK60" s="33"/>
      <c r="AL60" s="33"/>
      <c r="AM60" s="33"/>
      <c r="AN60" s="33"/>
      <c r="AO60" s="33"/>
      <c r="AP60" s="33"/>
      <c r="AQ60" s="33"/>
      <c r="AR60" s="33"/>
    </row>
    <row r="61" spans="5:44" x14ac:dyDescent="0.25">
      <c r="E61" s="26"/>
      <c r="F61" s="26"/>
      <c r="G61" s="33"/>
      <c r="H61" s="33"/>
      <c r="I61" s="33"/>
      <c r="J61" s="33"/>
      <c r="K61" s="33"/>
      <c r="L61" s="33"/>
      <c r="M61" s="33"/>
      <c r="N61" s="33"/>
      <c r="O61" s="33"/>
      <c r="P61" s="33"/>
      <c r="Q61" s="33"/>
      <c r="R61" s="33"/>
      <c r="S61" s="33"/>
      <c r="T61" s="33"/>
      <c r="U61" s="33"/>
      <c r="V61" s="33"/>
      <c r="W61" s="33"/>
      <c r="X61" s="33"/>
      <c r="Y61" s="33"/>
      <c r="Z61" s="33"/>
      <c r="AA61" s="33"/>
      <c r="AB61" s="33"/>
      <c r="AC61" s="33"/>
      <c r="AD61" s="33"/>
      <c r="AE61" s="33"/>
      <c r="AF61" s="33"/>
      <c r="AG61" s="33"/>
      <c r="AH61" s="33"/>
      <c r="AI61" s="33"/>
      <c r="AJ61" s="33"/>
      <c r="AK61" s="33"/>
      <c r="AL61" s="33"/>
      <c r="AM61" s="33"/>
      <c r="AN61" s="33"/>
      <c r="AO61" s="33"/>
      <c r="AP61" s="33"/>
      <c r="AQ61" s="33"/>
      <c r="AR61" s="33"/>
    </row>
    <row r="62" spans="5:44" x14ac:dyDescent="0.25">
      <c r="E62" s="26"/>
      <c r="F62" s="26"/>
      <c r="G62" s="33"/>
      <c r="H62" s="33"/>
      <c r="I62" s="33"/>
      <c r="J62" s="33"/>
      <c r="K62" s="33"/>
      <c r="L62" s="33"/>
      <c r="M62" s="33"/>
      <c r="N62" s="33"/>
      <c r="O62" s="33"/>
      <c r="P62" s="33"/>
      <c r="Q62" s="33"/>
      <c r="R62" s="33"/>
      <c r="S62" s="33"/>
      <c r="T62" s="33"/>
      <c r="U62" s="33"/>
      <c r="V62" s="33"/>
      <c r="W62" s="33"/>
      <c r="X62" s="33"/>
      <c r="Y62" s="33"/>
      <c r="Z62" s="33"/>
      <c r="AA62" s="33"/>
      <c r="AB62" s="33"/>
      <c r="AC62" s="33"/>
      <c r="AD62" s="33"/>
      <c r="AE62" s="33"/>
      <c r="AF62" s="33"/>
      <c r="AG62" s="33"/>
      <c r="AH62" s="33"/>
      <c r="AI62" s="33"/>
      <c r="AJ62" s="33"/>
      <c r="AK62" s="33"/>
      <c r="AL62" s="33"/>
      <c r="AM62" s="33"/>
      <c r="AN62" s="33"/>
      <c r="AO62" s="33"/>
      <c r="AP62" s="33"/>
      <c r="AQ62" s="33"/>
      <c r="AR62" s="33"/>
    </row>
    <row r="63" spans="5:44" x14ac:dyDescent="0.25">
      <c r="E63" s="26"/>
      <c r="F63" s="26"/>
      <c r="G63" s="33"/>
      <c r="H63" s="33"/>
      <c r="I63" s="33"/>
      <c r="J63" s="33"/>
      <c r="K63" s="33"/>
      <c r="L63" s="33"/>
      <c r="M63" s="33"/>
      <c r="N63" s="33"/>
      <c r="O63" s="33"/>
      <c r="P63" s="33"/>
      <c r="Q63" s="33"/>
      <c r="R63" s="33"/>
      <c r="S63" s="33"/>
      <c r="T63" s="33"/>
      <c r="U63" s="33"/>
      <c r="V63" s="33"/>
      <c r="W63" s="33"/>
      <c r="X63" s="33"/>
      <c r="Y63" s="33"/>
      <c r="Z63" s="33"/>
      <c r="AA63" s="33"/>
      <c r="AB63" s="33"/>
      <c r="AC63" s="33"/>
      <c r="AD63" s="33"/>
      <c r="AE63" s="33"/>
      <c r="AF63" s="33"/>
      <c r="AG63" s="33"/>
      <c r="AH63" s="33"/>
      <c r="AI63" s="33"/>
      <c r="AJ63" s="33"/>
      <c r="AK63" s="33"/>
      <c r="AL63" s="33"/>
      <c r="AM63" s="33"/>
      <c r="AN63" s="33"/>
      <c r="AO63" s="33"/>
      <c r="AP63" s="33"/>
      <c r="AQ63" s="33"/>
      <c r="AR63" s="33"/>
    </row>
    <row r="64" spans="5:44" x14ac:dyDescent="0.25">
      <c r="E64" s="26"/>
      <c r="F64" s="26"/>
      <c r="G64" s="33"/>
      <c r="H64" s="33"/>
      <c r="I64" s="33"/>
      <c r="J64" s="33"/>
      <c r="K64" s="33"/>
      <c r="L64" s="33"/>
      <c r="M64" s="33"/>
      <c r="N64" s="33"/>
      <c r="O64" s="33"/>
      <c r="P64" s="33"/>
      <c r="Q64" s="33"/>
      <c r="R64" s="33"/>
      <c r="S64" s="33"/>
      <c r="T64" s="33"/>
      <c r="U64" s="33"/>
      <c r="V64" s="33"/>
      <c r="W64" s="33"/>
      <c r="X64" s="33"/>
      <c r="Y64" s="33"/>
      <c r="Z64" s="33"/>
      <c r="AA64" s="33"/>
      <c r="AB64" s="33"/>
      <c r="AC64" s="33"/>
      <c r="AD64" s="33"/>
      <c r="AE64" s="33"/>
      <c r="AF64" s="33"/>
      <c r="AG64" s="33"/>
      <c r="AH64" s="33"/>
      <c r="AI64" s="33"/>
      <c r="AJ64" s="33"/>
      <c r="AK64" s="33"/>
      <c r="AL64" s="33"/>
      <c r="AM64" s="33"/>
      <c r="AN64" s="33"/>
      <c r="AO64" s="33"/>
      <c r="AP64" s="33"/>
      <c r="AQ64" s="33"/>
      <c r="AR64" s="33"/>
    </row>
    <row r="65" spans="5:44" x14ac:dyDescent="0.25">
      <c r="E65" s="29"/>
      <c r="F65" s="29"/>
      <c r="G65" s="33"/>
      <c r="H65" s="33"/>
      <c r="I65" s="33"/>
      <c r="J65" s="33"/>
      <c r="K65" s="33"/>
      <c r="L65" s="33"/>
      <c r="M65" s="33"/>
      <c r="N65" s="33"/>
      <c r="O65" s="33"/>
      <c r="P65" s="33"/>
      <c r="Q65" s="33"/>
      <c r="R65" s="33"/>
      <c r="S65" s="33"/>
      <c r="T65" s="33"/>
      <c r="U65" s="33"/>
      <c r="V65" s="33"/>
      <c r="W65" s="33"/>
      <c r="X65" s="33"/>
      <c r="Y65" s="33"/>
      <c r="Z65" s="33"/>
      <c r="AA65" s="33"/>
      <c r="AB65" s="33"/>
      <c r="AC65" s="33"/>
      <c r="AD65" s="33"/>
      <c r="AE65" s="33"/>
      <c r="AF65" s="33"/>
      <c r="AG65" s="33"/>
      <c r="AH65" s="33"/>
      <c r="AI65" s="33"/>
      <c r="AJ65" s="33"/>
      <c r="AK65" s="33"/>
      <c r="AL65" s="33"/>
      <c r="AM65" s="33"/>
      <c r="AN65" s="33"/>
      <c r="AO65" s="33"/>
      <c r="AP65" s="33"/>
      <c r="AQ65" s="33"/>
      <c r="AR65" s="33"/>
    </row>
  </sheetData>
  <mergeCells count="12">
    <mergeCell ref="A37:C37"/>
    <mergeCell ref="A2:A3"/>
    <mergeCell ref="B2:B3"/>
    <mergeCell ref="A35:B35"/>
    <mergeCell ref="D1:E1"/>
    <mergeCell ref="AT2:BH2"/>
    <mergeCell ref="AE1:AH1"/>
    <mergeCell ref="C2:S2"/>
    <mergeCell ref="T2:AB2"/>
    <mergeCell ref="AC2:AF2"/>
    <mergeCell ref="AG2:AS2"/>
    <mergeCell ref="AL1:AP1"/>
  </mergeCells>
  <conditionalFormatting sqref="Q4:S34 J4:K4 M4:O4 AA4:AF34 Z4:AA35 J5:L34 N5:O34 AF35">
    <cfRule type="cellIs" dxfId="5" priority="118" stopIfTrue="1" operator="lessThan">
      <formula>0</formula>
    </cfRule>
  </conditionalFormatting>
  <conditionalFormatting sqref="S4:S35">
    <cfRule type="cellIs" dxfId="4" priority="4" stopIfTrue="1" operator="greaterThan">
      <formula>0.0075</formula>
    </cfRule>
    <cfRule type="cellIs" dxfId="3" priority="6" stopIfTrue="1" operator="greaterThan">
      <formula>0.0075</formula>
    </cfRule>
  </conditionalFormatting>
  <conditionalFormatting sqref="AO4:AO35">
    <cfRule type="cellIs" dxfId="2" priority="119" stopIfTrue="1" operator="lessThan">
      <formula>0</formula>
    </cfRule>
    <cfRule type="cellIs" dxfId="1" priority="120" stopIfTrue="1" operator="lessThan">
      <formula>0</formula>
    </cfRule>
  </conditionalFormatting>
  <conditionalFormatting sqref="AS4:AS35">
    <cfRule type="cellIs" dxfId="0" priority="1" stopIfTrue="1" operator="lessThan">
      <formula>4.4</formula>
    </cfRule>
  </conditionalFormatting>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4EF38B-F11B-40CC-8C48-F3BB84DAE6A2}">
  <sheetPr>
    <tabColor rgb="FFFFC000"/>
  </sheetPr>
  <dimension ref="A2:I36"/>
  <sheetViews>
    <sheetView zoomScale="85" zoomScaleNormal="85" workbookViewId="0">
      <selection activeCell="C11" sqref="C11"/>
    </sheetView>
  </sheetViews>
  <sheetFormatPr defaultColWidth="8.5703125" defaultRowHeight="12.75" x14ac:dyDescent="0.2"/>
  <cols>
    <col min="1" max="1" width="16.5703125" style="147" bestFit="1" customWidth="1"/>
    <col min="2" max="2" width="13.42578125" style="147" bestFit="1" customWidth="1"/>
    <col min="3" max="8" width="16.5703125" style="147" customWidth="1"/>
    <col min="9" max="9" width="16.5703125" style="148" customWidth="1"/>
    <col min="10" max="16384" width="8.5703125" style="147"/>
  </cols>
  <sheetData>
    <row r="2" spans="1:9" s="152" customFormat="1" ht="26.25" x14ac:dyDescent="0.4">
      <c r="A2" s="275" t="s">
        <v>228</v>
      </c>
      <c r="B2" s="275"/>
      <c r="C2" s="275"/>
      <c r="D2" s="275"/>
      <c r="E2" s="275"/>
      <c r="F2" s="275"/>
      <c r="G2" s="275"/>
      <c r="H2" s="275"/>
      <c r="I2" s="275"/>
    </row>
    <row r="3" spans="1:9" ht="22.35" customHeight="1" x14ac:dyDescent="0.2">
      <c r="A3" s="162" t="s">
        <v>229</v>
      </c>
      <c r="B3" s="279" t="s">
        <v>264</v>
      </c>
      <c r="C3" s="279"/>
    </row>
    <row r="4" spans="1:9" s="149" customFormat="1" ht="28.7" customHeight="1" x14ac:dyDescent="0.25">
      <c r="A4" s="151" t="s">
        <v>21</v>
      </c>
      <c r="B4" s="153" t="s">
        <v>225</v>
      </c>
      <c r="C4" s="276" t="s">
        <v>224</v>
      </c>
      <c r="D4" s="276"/>
      <c r="E4" s="277" t="s">
        <v>227</v>
      </c>
      <c r="F4" s="277"/>
      <c r="G4" s="278" t="s">
        <v>226</v>
      </c>
      <c r="H4" s="278"/>
      <c r="I4" s="150" t="s">
        <v>223</v>
      </c>
    </row>
    <row r="5" spans="1:9" ht="15" customHeight="1" x14ac:dyDescent="0.2">
      <c r="A5" s="166">
        <v>46113</v>
      </c>
      <c r="B5" s="155">
        <f>D5+F5+H5</f>
        <v>0</v>
      </c>
      <c r="C5" s="164"/>
      <c r="D5" s="156">
        <f>C5*50%</f>
        <v>0</v>
      </c>
      <c r="E5" s="165"/>
      <c r="F5" s="157">
        <f>E5*15%</f>
        <v>0</v>
      </c>
      <c r="G5" s="167"/>
      <c r="H5" s="158">
        <f>G5*35%</f>
        <v>0</v>
      </c>
      <c r="I5" s="165"/>
    </row>
    <row r="6" spans="1:9" ht="15" customHeight="1" x14ac:dyDescent="0.2">
      <c r="A6" s="154">
        <f>A5+1</f>
        <v>46114</v>
      </c>
      <c r="B6" s="155">
        <f t="shared" ref="B6:B36" si="0">D6+F6+H6</f>
        <v>0</v>
      </c>
      <c r="C6" s="164"/>
      <c r="D6" s="156">
        <f t="shared" ref="D6:D35" si="1">C6*50%</f>
        <v>0</v>
      </c>
      <c r="E6" s="165"/>
      <c r="F6" s="157">
        <f t="shared" ref="F6:F36" si="2">E6*15%</f>
        <v>0</v>
      </c>
      <c r="G6" s="167"/>
      <c r="H6" s="158">
        <f t="shared" ref="H6:H36" si="3">G6*35%</f>
        <v>0</v>
      </c>
      <c r="I6" s="165"/>
    </row>
    <row r="7" spans="1:9" ht="15" customHeight="1" x14ac:dyDescent="0.2">
      <c r="A7" s="154">
        <f t="shared" ref="A7:A35" si="4">A6+1</f>
        <v>46115</v>
      </c>
      <c r="B7" s="155">
        <f t="shared" si="0"/>
        <v>0</v>
      </c>
      <c r="C7" s="164"/>
      <c r="D7" s="156">
        <f t="shared" si="1"/>
        <v>0</v>
      </c>
      <c r="E7" s="165"/>
      <c r="F7" s="157">
        <f t="shared" si="2"/>
        <v>0</v>
      </c>
      <c r="G7" s="167"/>
      <c r="H7" s="158">
        <f t="shared" si="3"/>
        <v>0</v>
      </c>
      <c r="I7" s="165"/>
    </row>
    <row r="8" spans="1:9" ht="15" customHeight="1" x14ac:dyDescent="0.2">
      <c r="A8" s="154">
        <f t="shared" si="4"/>
        <v>46116</v>
      </c>
      <c r="B8" s="155">
        <f t="shared" si="0"/>
        <v>0</v>
      </c>
      <c r="C8" s="164"/>
      <c r="D8" s="156">
        <f t="shared" si="1"/>
        <v>0</v>
      </c>
      <c r="E8" s="165"/>
      <c r="F8" s="157">
        <f t="shared" si="2"/>
        <v>0</v>
      </c>
      <c r="G8" s="167"/>
      <c r="H8" s="158">
        <f t="shared" si="3"/>
        <v>0</v>
      </c>
      <c r="I8" s="165"/>
    </row>
    <row r="9" spans="1:9" ht="15" customHeight="1" x14ac:dyDescent="0.2">
      <c r="A9" s="154">
        <f t="shared" si="4"/>
        <v>46117</v>
      </c>
      <c r="B9" s="155">
        <f t="shared" si="0"/>
        <v>0</v>
      </c>
      <c r="C9" s="164"/>
      <c r="D9" s="156">
        <f>C9*50%</f>
        <v>0</v>
      </c>
      <c r="E9" s="165"/>
      <c r="F9" s="157">
        <f t="shared" si="2"/>
        <v>0</v>
      </c>
      <c r="G9" s="167"/>
      <c r="H9" s="158">
        <f t="shared" si="3"/>
        <v>0</v>
      </c>
      <c r="I9" s="165"/>
    </row>
    <row r="10" spans="1:9" ht="15" customHeight="1" x14ac:dyDescent="0.2">
      <c r="A10" s="154">
        <f t="shared" si="4"/>
        <v>46118</v>
      </c>
      <c r="B10" s="155">
        <f t="shared" si="0"/>
        <v>0</v>
      </c>
      <c r="C10" s="164"/>
      <c r="D10" s="156">
        <f>C10*50%</f>
        <v>0</v>
      </c>
      <c r="E10" s="165"/>
      <c r="F10" s="157">
        <f t="shared" si="2"/>
        <v>0</v>
      </c>
      <c r="G10" s="167"/>
      <c r="H10" s="158">
        <f t="shared" si="3"/>
        <v>0</v>
      </c>
      <c r="I10" s="165"/>
    </row>
    <row r="11" spans="1:9" ht="15" customHeight="1" x14ac:dyDescent="0.2">
      <c r="A11" s="154">
        <f t="shared" si="4"/>
        <v>46119</v>
      </c>
      <c r="B11" s="155">
        <f t="shared" si="0"/>
        <v>0</v>
      </c>
      <c r="C11" s="164"/>
      <c r="D11" s="156">
        <f t="shared" si="1"/>
        <v>0</v>
      </c>
      <c r="E11" s="165"/>
      <c r="F11" s="157">
        <f t="shared" si="2"/>
        <v>0</v>
      </c>
      <c r="G11" s="167"/>
      <c r="H11" s="158">
        <f t="shared" si="3"/>
        <v>0</v>
      </c>
      <c r="I11" s="165"/>
    </row>
    <row r="12" spans="1:9" ht="15" customHeight="1" x14ac:dyDescent="0.2">
      <c r="A12" s="154">
        <f t="shared" si="4"/>
        <v>46120</v>
      </c>
      <c r="B12" s="155">
        <f t="shared" si="0"/>
        <v>0</v>
      </c>
      <c r="C12" s="164"/>
      <c r="D12" s="156">
        <f>C12*50%</f>
        <v>0</v>
      </c>
      <c r="E12" s="165"/>
      <c r="F12" s="157">
        <f t="shared" si="2"/>
        <v>0</v>
      </c>
      <c r="G12" s="167"/>
      <c r="H12" s="158">
        <f t="shared" si="3"/>
        <v>0</v>
      </c>
      <c r="I12" s="165"/>
    </row>
    <row r="13" spans="1:9" ht="15" customHeight="1" x14ac:dyDescent="0.2">
      <c r="A13" s="154">
        <f t="shared" si="4"/>
        <v>46121</v>
      </c>
      <c r="B13" s="155">
        <f t="shared" si="0"/>
        <v>0</v>
      </c>
      <c r="C13" s="164"/>
      <c r="D13" s="156">
        <f t="shared" si="1"/>
        <v>0</v>
      </c>
      <c r="E13" s="165"/>
      <c r="F13" s="157">
        <f t="shared" si="2"/>
        <v>0</v>
      </c>
      <c r="G13" s="167"/>
      <c r="H13" s="158">
        <f t="shared" ref="H13:H18" si="5">G13*35%</f>
        <v>0</v>
      </c>
      <c r="I13" s="165"/>
    </row>
    <row r="14" spans="1:9" ht="15" customHeight="1" x14ac:dyDescent="0.2">
      <c r="A14" s="154">
        <f t="shared" si="4"/>
        <v>46122</v>
      </c>
      <c r="B14" s="155">
        <f t="shared" si="0"/>
        <v>0</v>
      </c>
      <c r="C14" s="164"/>
      <c r="D14" s="156">
        <f t="shared" si="1"/>
        <v>0</v>
      </c>
      <c r="E14" s="165"/>
      <c r="F14" s="157">
        <f>E14*15%</f>
        <v>0</v>
      </c>
      <c r="G14" s="167"/>
      <c r="H14" s="158">
        <f t="shared" si="5"/>
        <v>0</v>
      </c>
      <c r="I14" s="165"/>
    </row>
    <row r="15" spans="1:9" ht="15" customHeight="1" x14ac:dyDescent="0.2">
      <c r="A15" s="154">
        <f t="shared" si="4"/>
        <v>46123</v>
      </c>
      <c r="B15" s="155">
        <f t="shared" si="0"/>
        <v>0</v>
      </c>
      <c r="C15" s="164"/>
      <c r="D15" s="156">
        <f t="shared" si="1"/>
        <v>0</v>
      </c>
      <c r="E15" s="165"/>
      <c r="F15" s="157">
        <f t="shared" si="2"/>
        <v>0</v>
      </c>
      <c r="G15" s="167"/>
      <c r="H15" s="158">
        <f t="shared" si="5"/>
        <v>0</v>
      </c>
      <c r="I15" s="165"/>
    </row>
    <row r="16" spans="1:9" ht="15" customHeight="1" x14ac:dyDescent="0.2">
      <c r="A16" s="154">
        <f t="shared" si="4"/>
        <v>46124</v>
      </c>
      <c r="B16" s="155">
        <f t="shared" si="0"/>
        <v>0</v>
      </c>
      <c r="C16" s="164"/>
      <c r="D16" s="156">
        <f t="shared" si="1"/>
        <v>0</v>
      </c>
      <c r="E16" s="165"/>
      <c r="F16" s="157">
        <f t="shared" si="2"/>
        <v>0</v>
      </c>
      <c r="G16" s="167"/>
      <c r="H16" s="158">
        <f t="shared" si="5"/>
        <v>0</v>
      </c>
      <c r="I16" s="165"/>
    </row>
    <row r="17" spans="1:9" ht="15" customHeight="1" x14ac:dyDescent="0.2">
      <c r="A17" s="154">
        <f t="shared" si="4"/>
        <v>46125</v>
      </c>
      <c r="B17" s="155">
        <f t="shared" si="0"/>
        <v>0</v>
      </c>
      <c r="C17" s="164"/>
      <c r="D17" s="156">
        <f t="shared" si="1"/>
        <v>0</v>
      </c>
      <c r="E17" s="165"/>
      <c r="F17" s="157">
        <f t="shared" si="2"/>
        <v>0</v>
      </c>
      <c r="G17" s="167"/>
      <c r="H17" s="158">
        <f t="shared" si="5"/>
        <v>0</v>
      </c>
      <c r="I17" s="165"/>
    </row>
    <row r="18" spans="1:9" ht="15" customHeight="1" x14ac:dyDescent="0.2">
      <c r="A18" s="154">
        <f t="shared" si="4"/>
        <v>46126</v>
      </c>
      <c r="B18" s="155">
        <f t="shared" si="0"/>
        <v>0</v>
      </c>
      <c r="C18" s="164"/>
      <c r="D18" s="156">
        <f t="shared" si="1"/>
        <v>0</v>
      </c>
      <c r="E18" s="165"/>
      <c r="F18" s="157">
        <f>E18*15%</f>
        <v>0</v>
      </c>
      <c r="G18" s="167"/>
      <c r="H18" s="158">
        <f t="shared" si="5"/>
        <v>0</v>
      </c>
      <c r="I18" s="165"/>
    </row>
    <row r="19" spans="1:9" ht="15" customHeight="1" x14ac:dyDescent="0.2">
      <c r="A19" s="154">
        <f t="shared" si="4"/>
        <v>46127</v>
      </c>
      <c r="B19" s="155">
        <f t="shared" si="0"/>
        <v>0</v>
      </c>
      <c r="C19" s="164"/>
      <c r="D19" s="156">
        <f t="shared" si="1"/>
        <v>0</v>
      </c>
      <c r="E19" s="165"/>
      <c r="F19" s="157">
        <f t="shared" si="2"/>
        <v>0</v>
      </c>
      <c r="G19" s="167"/>
      <c r="H19" s="158">
        <f t="shared" si="3"/>
        <v>0</v>
      </c>
      <c r="I19" s="165"/>
    </row>
    <row r="20" spans="1:9" ht="15" customHeight="1" x14ac:dyDescent="0.2">
      <c r="A20" s="154">
        <f t="shared" si="4"/>
        <v>46128</v>
      </c>
      <c r="B20" s="155">
        <f t="shared" si="0"/>
        <v>0</v>
      </c>
      <c r="C20" s="164"/>
      <c r="D20" s="156">
        <f t="shared" si="1"/>
        <v>0</v>
      </c>
      <c r="E20" s="165"/>
      <c r="F20" s="157">
        <f t="shared" si="2"/>
        <v>0</v>
      </c>
      <c r="G20" s="167"/>
      <c r="H20" s="158">
        <f t="shared" si="3"/>
        <v>0</v>
      </c>
      <c r="I20" s="165"/>
    </row>
    <row r="21" spans="1:9" ht="15" customHeight="1" x14ac:dyDescent="0.2">
      <c r="A21" s="154">
        <f t="shared" si="4"/>
        <v>46129</v>
      </c>
      <c r="B21" s="155">
        <f t="shared" si="0"/>
        <v>0</v>
      </c>
      <c r="C21" s="164"/>
      <c r="D21" s="156">
        <f t="shared" si="1"/>
        <v>0</v>
      </c>
      <c r="E21" s="165"/>
      <c r="F21" s="157">
        <f t="shared" si="2"/>
        <v>0</v>
      </c>
      <c r="G21" s="167"/>
      <c r="H21" s="158">
        <f t="shared" si="3"/>
        <v>0</v>
      </c>
      <c r="I21" s="165"/>
    </row>
    <row r="22" spans="1:9" ht="15" customHeight="1" x14ac:dyDescent="0.2">
      <c r="A22" s="154">
        <f t="shared" si="4"/>
        <v>46130</v>
      </c>
      <c r="B22" s="155">
        <f t="shared" si="0"/>
        <v>0</v>
      </c>
      <c r="C22" s="164"/>
      <c r="D22" s="156">
        <f t="shared" si="1"/>
        <v>0</v>
      </c>
      <c r="E22" s="165"/>
      <c r="F22" s="157">
        <f t="shared" si="2"/>
        <v>0</v>
      </c>
      <c r="G22" s="167"/>
      <c r="H22" s="158">
        <f t="shared" si="3"/>
        <v>0</v>
      </c>
      <c r="I22" s="165"/>
    </row>
    <row r="23" spans="1:9" ht="15" customHeight="1" x14ac:dyDescent="0.2">
      <c r="A23" s="154">
        <f t="shared" si="4"/>
        <v>46131</v>
      </c>
      <c r="B23" s="155">
        <f t="shared" si="0"/>
        <v>0</v>
      </c>
      <c r="C23" s="164"/>
      <c r="D23" s="156">
        <f t="shared" si="1"/>
        <v>0</v>
      </c>
      <c r="E23" s="165"/>
      <c r="F23" s="157">
        <f t="shared" si="2"/>
        <v>0</v>
      </c>
      <c r="G23" s="167"/>
      <c r="H23" s="158">
        <f t="shared" si="3"/>
        <v>0</v>
      </c>
      <c r="I23" s="165"/>
    </row>
    <row r="24" spans="1:9" ht="15" customHeight="1" x14ac:dyDescent="0.2">
      <c r="A24" s="154">
        <f t="shared" si="4"/>
        <v>46132</v>
      </c>
      <c r="B24" s="155">
        <f t="shared" si="0"/>
        <v>0</v>
      </c>
      <c r="C24" s="164"/>
      <c r="D24" s="156">
        <f t="shared" si="1"/>
        <v>0</v>
      </c>
      <c r="E24" s="165"/>
      <c r="F24" s="157">
        <f t="shared" si="2"/>
        <v>0</v>
      </c>
      <c r="G24" s="167"/>
      <c r="H24" s="158">
        <f t="shared" si="3"/>
        <v>0</v>
      </c>
      <c r="I24" s="165"/>
    </row>
    <row r="25" spans="1:9" ht="15" customHeight="1" x14ac:dyDescent="0.2">
      <c r="A25" s="154">
        <f t="shared" si="4"/>
        <v>46133</v>
      </c>
      <c r="B25" s="155">
        <f t="shared" si="0"/>
        <v>0</v>
      </c>
      <c r="C25" s="164"/>
      <c r="D25" s="156">
        <f t="shared" si="1"/>
        <v>0</v>
      </c>
      <c r="E25" s="165"/>
      <c r="F25" s="157">
        <f t="shared" si="2"/>
        <v>0</v>
      </c>
      <c r="G25" s="167"/>
      <c r="H25" s="158">
        <f t="shared" si="3"/>
        <v>0</v>
      </c>
      <c r="I25" s="165"/>
    </row>
    <row r="26" spans="1:9" ht="15" customHeight="1" x14ac:dyDescent="0.2">
      <c r="A26" s="154">
        <f t="shared" si="4"/>
        <v>46134</v>
      </c>
      <c r="B26" s="155">
        <f t="shared" si="0"/>
        <v>0</v>
      </c>
      <c r="C26" s="164"/>
      <c r="D26" s="156">
        <f t="shared" si="1"/>
        <v>0</v>
      </c>
      <c r="E26" s="165"/>
      <c r="F26" s="157">
        <f t="shared" si="2"/>
        <v>0</v>
      </c>
      <c r="G26" s="167"/>
      <c r="H26" s="158">
        <f t="shared" si="3"/>
        <v>0</v>
      </c>
      <c r="I26" s="165"/>
    </row>
    <row r="27" spans="1:9" ht="15" customHeight="1" x14ac:dyDescent="0.2">
      <c r="A27" s="154">
        <f t="shared" si="4"/>
        <v>46135</v>
      </c>
      <c r="B27" s="155">
        <f t="shared" si="0"/>
        <v>0</v>
      </c>
      <c r="C27" s="164"/>
      <c r="D27" s="156">
        <f t="shared" si="1"/>
        <v>0</v>
      </c>
      <c r="E27" s="165"/>
      <c r="F27" s="157">
        <f t="shared" si="2"/>
        <v>0</v>
      </c>
      <c r="G27" s="167"/>
      <c r="H27" s="158">
        <f t="shared" si="3"/>
        <v>0</v>
      </c>
      <c r="I27" s="165"/>
    </row>
    <row r="28" spans="1:9" ht="15" customHeight="1" x14ac:dyDescent="0.2">
      <c r="A28" s="154">
        <f t="shared" si="4"/>
        <v>46136</v>
      </c>
      <c r="B28" s="155">
        <f t="shared" si="0"/>
        <v>0</v>
      </c>
      <c r="C28" s="164"/>
      <c r="D28" s="156">
        <f t="shared" si="1"/>
        <v>0</v>
      </c>
      <c r="E28" s="165"/>
      <c r="F28" s="157">
        <f t="shared" si="2"/>
        <v>0</v>
      </c>
      <c r="G28" s="167"/>
      <c r="H28" s="158">
        <f t="shared" si="3"/>
        <v>0</v>
      </c>
      <c r="I28" s="165"/>
    </row>
    <row r="29" spans="1:9" ht="15" customHeight="1" x14ac:dyDescent="0.2">
      <c r="A29" s="154">
        <f t="shared" si="4"/>
        <v>46137</v>
      </c>
      <c r="B29" s="155">
        <f t="shared" si="0"/>
        <v>0</v>
      </c>
      <c r="C29" s="164"/>
      <c r="D29" s="156">
        <f t="shared" si="1"/>
        <v>0</v>
      </c>
      <c r="E29" s="165"/>
      <c r="F29" s="157">
        <f t="shared" si="2"/>
        <v>0</v>
      </c>
      <c r="G29" s="167"/>
      <c r="H29" s="158">
        <f t="shared" si="3"/>
        <v>0</v>
      </c>
      <c r="I29" s="165"/>
    </row>
    <row r="30" spans="1:9" ht="15" customHeight="1" x14ac:dyDescent="0.2">
      <c r="A30" s="154">
        <f t="shared" si="4"/>
        <v>46138</v>
      </c>
      <c r="B30" s="155">
        <f t="shared" si="0"/>
        <v>0</v>
      </c>
      <c r="C30" s="164"/>
      <c r="D30" s="156">
        <f t="shared" si="1"/>
        <v>0</v>
      </c>
      <c r="E30" s="165"/>
      <c r="F30" s="157">
        <f t="shared" si="2"/>
        <v>0</v>
      </c>
      <c r="G30" s="167"/>
      <c r="H30" s="158">
        <f t="shared" si="3"/>
        <v>0</v>
      </c>
      <c r="I30" s="165"/>
    </row>
    <row r="31" spans="1:9" ht="15" customHeight="1" x14ac:dyDescent="0.2">
      <c r="A31" s="154">
        <f t="shared" si="4"/>
        <v>46139</v>
      </c>
      <c r="B31" s="155">
        <f t="shared" si="0"/>
        <v>0</v>
      </c>
      <c r="C31" s="164"/>
      <c r="D31" s="156">
        <f t="shared" si="1"/>
        <v>0</v>
      </c>
      <c r="E31" s="165"/>
      <c r="F31" s="157">
        <f t="shared" si="2"/>
        <v>0</v>
      </c>
      <c r="G31" s="167"/>
      <c r="H31" s="158">
        <f>G31*35%</f>
        <v>0</v>
      </c>
      <c r="I31" s="165"/>
    </row>
    <row r="32" spans="1:9" ht="15" customHeight="1" x14ac:dyDescent="0.2">
      <c r="A32" s="154">
        <f t="shared" si="4"/>
        <v>46140</v>
      </c>
      <c r="B32" s="155">
        <f t="shared" si="0"/>
        <v>0</v>
      </c>
      <c r="C32" s="164"/>
      <c r="D32" s="156">
        <f t="shared" si="1"/>
        <v>0</v>
      </c>
      <c r="E32" s="165"/>
      <c r="F32" s="157">
        <f t="shared" si="2"/>
        <v>0</v>
      </c>
      <c r="G32" s="167"/>
      <c r="H32" s="158">
        <f>G32*35%</f>
        <v>0</v>
      </c>
      <c r="I32" s="165"/>
    </row>
    <row r="33" spans="1:9" ht="15" customHeight="1" x14ac:dyDescent="0.2">
      <c r="A33" s="154">
        <f t="shared" si="4"/>
        <v>46141</v>
      </c>
      <c r="B33" s="155">
        <f t="shared" si="0"/>
        <v>0</v>
      </c>
      <c r="C33" s="164"/>
      <c r="D33" s="156">
        <f t="shared" si="1"/>
        <v>0</v>
      </c>
      <c r="E33" s="165"/>
      <c r="F33" s="157">
        <f t="shared" si="2"/>
        <v>0</v>
      </c>
      <c r="G33" s="167"/>
      <c r="H33" s="158">
        <f t="shared" si="3"/>
        <v>0</v>
      </c>
      <c r="I33" s="165"/>
    </row>
    <row r="34" spans="1:9" ht="15" customHeight="1" x14ac:dyDescent="0.2">
      <c r="A34" s="154">
        <f t="shared" si="4"/>
        <v>46142</v>
      </c>
      <c r="B34" s="155">
        <f t="shared" si="0"/>
        <v>0</v>
      </c>
      <c r="C34" s="164"/>
      <c r="D34" s="156">
        <f t="shared" si="1"/>
        <v>0</v>
      </c>
      <c r="E34" s="165"/>
      <c r="F34" s="157">
        <f t="shared" si="2"/>
        <v>0</v>
      </c>
      <c r="G34" s="167"/>
      <c r="H34" s="158">
        <f t="shared" si="3"/>
        <v>0</v>
      </c>
      <c r="I34" s="165"/>
    </row>
    <row r="35" spans="1:9" ht="15" customHeight="1" x14ac:dyDescent="0.2">
      <c r="A35" s="154">
        <f t="shared" si="4"/>
        <v>46143</v>
      </c>
      <c r="B35" s="155">
        <f t="shared" si="0"/>
        <v>0</v>
      </c>
      <c r="C35" s="164"/>
      <c r="D35" s="156">
        <f t="shared" si="1"/>
        <v>0</v>
      </c>
      <c r="E35" s="165"/>
      <c r="F35" s="157">
        <f t="shared" si="2"/>
        <v>0</v>
      </c>
      <c r="G35" s="167"/>
      <c r="H35" s="158">
        <f t="shared" si="3"/>
        <v>0</v>
      </c>
      <c r="I35" s="165"/>
    </row>
    <row r="36" spans="1:9" ht="15" customHeight="1" x14ac:dyDescent="0.2">
      <c r="A36" s="161" t="s">
        <v>222</v>
      </c>
      <c r="B36" s="159" t="e">
        <f t="shared" si="0"/>
        <v>#DIV/0!</v>
      </c>
      <c r="C36" s="163" t="e">
        <f>AVERAGE(C5:C35)</f>
        <v>#DIV/0!</v>
      </c>
      <c r="D36" s="159" t="e">
        <f>C36*50%</f>
        <v>#DIV/0!</v>
      </c>
      <c r="E36" s="163" t="e">
        <f>AVERAGE(E5:E35)</f>
        <v>#DIV/0!</v>
      </c>
      <c r="F36" s="159" t="e">
        <f t="shared" si="2"/>
        <v>#DIV/0!</v>
      </c>
      <c r="G36" s="163" t="e">
        <f>AVERAGE(G5:G35)</f>
        <v>#DIV/0!</v>
      </c>
      <c r="H36" s="159" t="e">
        <f t="shared" si="3"/>
        <v>#DIV/0!</v>
      </c>
      <c r="I36" s="160"/>
    </row>
  </sheetData>
  <sheetProtection sheet="1" objects="1" scenarios="1"/>
  <mergeCells count="5">
    <mergeCell ref="A2:I2"/>
    <mergeCell ref="C4:D4"/>
    <mergeCell ref="E4:F4"/>
    <mergeCell ref="G4:H4"/>
    <mergeCell ref="B3:C3"/>
  </mergeCells>
  <pageMargins left="0.7" right="0.7" top="0.75" bottom="0.75" header="0.3" footer="0.3"/>
  <pageSetup orientation="portrait"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D4754F-1BDC-419A-9806-F428A2290DB6}">
  <dimension ref="A1:R112"/>
  <sheetViews>
    <sheetView topLeftCell="A7" workbookViewId="0">
      <selection activeCell="F28" sqref="F28"/>
    </sheetView>
  </sheetViews>
  <sheetFormatPr defaultRowHeight="15" x14ac:dyDescent="0.25"/>
  <cols>
    <col min="1" max="1" width="6.5703125" customWidth="1"/>
    <col min="2" max="2" width="5.42578125" customWidth="1"/>
    <col min="3" max="3" width="10.85546875" customWidth="1"/>
    <col min="4" max="4" width="11" customWidth="1"/>
    <col min="5" max="5" width="8.85546875" customWidth="1"/>
    <col min="7" max="7" width="11" customWidth="1"/>
    <col min="8" max="8" width="9.42578125" bestFit="1" customWidth="1"/>
    <col min="9" max="9" width="10.42578125" bestFit="1" customWidth="1"/>
    <col min="10" max="10" width="3.5703125" customWidth="1"/>
    <col min="11" max="14" width="10" customWidth="1"/>
  </cols>
  <sheetData>
    <row r="1" spans="1:15" ht="27.75" x14ac:dyDescent="0.65">
      <c r="A1" s="280" t="s">
        <v>300</v>
      </c>
      <c r="B1" s="280"/>
      <c r="C1" s="280"/>
      <c r="D1" s="280"/>
      <c r="E1" s="280"/>
      <c r="F1" s="200"/>
      <c r="G1" s="200"/>
      <c r="H1" s="200"/>
      <c r="I1" s="281"/>
      <c r="J1" s="281"/>
      <c r="K1" s="200"/>
      <c r="L1" s="200"/>
      <c r="M1" s="200"/>
      <c r="N1" s="201"/>
    </row>
    <row r="2" spans="1:15" ht="26.25" x14ac:dyDescent="0.55000000000000004">
      <c r="A2" s="202" t="s">
        <v>281</v>
      </c>
      <c r="B2" s="203"/>
      <c r="C2" s="204">
        <v>45901</v>
      </c>
      <c r="D2" s="205" t="s">
        <v>282</v>
      </c>
      <c r="E2" s="206">
        <v>0.14000000000000001</v>
      </c>
      <c r="F2" s="207"/>
      <c r="G2" s="207"/>
      <c r="H2" s="207"/>
      <c r="I2" s="207"/>
      <c r="J2" s="207"/>
      <c r="M2" s="208"/>
      <c r="N2" s="208"/>
    </row>
    <row r="3" spans="1:15" ht="12" customHeight="1" x14ac:dyDescent="0.55000000000000004">
      <c r="A3" s="208"/>
      <c r="B3" s="208"/>
      <c r="C3" s="209"/>
      <c r="D3" s="208"/>
      <c r="E3" s="207"/>
      <c r="F3" s="207"/>
      <c r="G3" s="207"/>
      <c r="H3" s="207"/>
      <c r="I3" s="207"/>
      <c r="J3" s="207"/>
      <c r="M3" s="208"/>
      <c r="N3" s="208"/>
    </row>
    <row r="4" spans="1:15" s="216" customFormat="1" ht="33" customHeight="1" thickBot="1" x14ac:dyDescent="0.6">
      <c r="A4" s="282" t="s">
        <v>283</v>
      </c>
      <c r="B4" s="283"/>
      <c r="C4" s="283"/>
      <c r="D4" s="283"/>
      <c r="E4" s="210">
        <v>50</v>
      </c>
      <c r="F4" s="211" t="s">
        <v>284</v>
      </c>
      <c r="G4" s="212">
        <v>50</v>
      </c>
      <c r="H4" s="213"/>
      <c r="I4" s="214"/>
      <c r="J4" s="215"/>
      <c r="K4" s="215"/>
      <c r="L4" s="215"/>
      <c r="M4" s="215"/>
      <c r="N4" s="215"/>
    </row>
    <row r="5" spans="1:15" ht="43.5" customHeight="1" thickBot="1" x14ac:dyDescent="0.5">
      <c r="A5" s="217" t="s">
        <v>21</v>
      </c>
      <c r="B5" s="218" t="s">
        <v>20</v>
      </c>
      <c r="C5" s="219" t="s">
        <v>285</v>
      </c>
      <c r="D5" s="219" t="s">
        <v>286</v>
      </c>
      <c r="E5" s="220" t="s">
        <v>287</v>
      </c>
      <c r="F5" s="221" t="s">
        <v>288</v>
      </c>
      <c r="G5" s="222" t="s">
        <v>289</v>
      </c>
      <c r="H5" s="218" t="s">
        <v>290</v>
      </c>
      <c r="I5" s="223" t="s">
        <v>291</v>
      </c>
      <c r="J5" s="224"/>
      <c r="K5" s="225" t="s">
        <v>292</v>
      </c>
      <c r="L5" s="226" t="s">
        <v>293</v>
      </c>
      <c r="M5" s="226" t="s">
        <v>294</v>
      </c>
      <c r="N5" s="227" t="s">
        <v>295</v>
      </c>
      <c r="O5" s="228" t="s">
        <v>296</v>
      </c>
    </row>
    <row r="6" spans="1:15" ht="24" x14ac:dyDescent="0.55000000000000004">
      <c r="A6" s="229">
        <f>C2</f>
        <v>45901</v>
      </c>
      <c r="B6" s="230">
        <f>A6</f>
        <v>45901</v>
      </c>
      <c r="C6" s="231">
        <v>4754.8387096774195</v>
      </c>
      <c r="D6" s="232">
        <f>'Sales Management Sheet'!AK4</f>
        <v>0</v>
      </c>
      <c r="E6" s="233">
        <f>D6*$E$4</f>
        <v>0</v>
      </c>
      <c r="F6" s="234">
        <v>4</v>
      </c>
      <c r="G6" s="235">
        <f>F6*$G$4</f>
        <v>200</v>
      </c>
      <c r="H6" s="236">
        <f>C6+E6+G6</f>
        <v>4954.8387096774195</v>
      </c>
      <c r="I6" s="236">
        <f>H6</f>
        <v>4954.8387096774195</v>
      </c>
      <c r="J6" s="237"/>
      <c r="K6" s="238">
        <f>'Sales Management Sheet'!H4</f>
        <v>0</v>
      </c>
      <c r="L6" s="236">
        <f>K6</f>
        <v>0</v>
      </c>
      <c r="M6" s="239" t="e">
        <f>SUM(H6/K6)</f>
        <v>#DIV/0!</v>
      </c>
      <c r="N6" s="240" t="e">
        <f>SUM(I6/L6)</f>
        <v>#DIV/0!</v>
      </c>
      <c r="O6" s="241" t="e">
        <f t="shared" ref="O6:O37" si="0">N6-$E$2</f>
        <v>#DIV/0!</v>
      </c>
    </row>
    <row r="7" spans="1:15" ht="24" x14ac:dyDescent="0.55000000000000004">
      <c r="A7" s="242">
        <f>A6+1</f>
        <v>45902</v>
      </c>
      <c r="B7" s="230">
        <f>A7</f>
        <v>45902</v>
      </c>
      <c r="C7" s="231">
        <v>4754.8387096774195</v>
      </c>
      <c r="D7" s="232">
        <f>'Sales Management Sheet'!AK5</f>
        <v>0</v>
      </c>
      <c r="E7" s="233">
        <f t="shared" ref="E7:E36" si="1">D7*$E$4</f>
        <v>0</v>
      </c>
      <c r="F7" s="234">
        <v>2</v>
      </c>
      <c r="G7" s="235">
        <f t="shared" ref="G7:G36" si="2">F7*$G$4</f>
        <v>100</v>
      </c>
      <c r="H7" s="236">
        <f t="shared" ref="H7:H36" si="3">C7+E7+G7</f>
        <v>4854.8387096774195</v>
      </c>
      <c r="I7" s="243">
        <f>SUM(I6+H7)</f>
        <v>9809.677419354839</v>
      </c>
      <c r="J7" s="237"/>
      <c r="K7" s="238">
        <f>'Sales Management Sheet'!H5</f>
        <v>0</v>
      </c>
      <c r="L7" s="243">
        <f t="shared" ref="L7:L36" si="4">SUM(L6+K7)</f>
        <v>0</v>
      </c>
      <c r="M7" s="239" t="e">
        <f t="shared" ref="M7:M37" si="5">SUM(H7/K7)</f>
        <v>#DIV/0!</v>
      </c>
      <c r="N7" s="240" t="e">
        <f t="shared" ref="N7:N37" si="6">SUM(I7/L7)</f>
        <v>#DIV/0!</v>
      </c>
      <c r="O7" s="241" t="e">
        <f t="shared" si="0"/>
        <v>#DIV/0!</v>
      </c>
    </row>
    <row r="8" spans="1:15" ht="24" x14ac:dyDescent="0.55000000000000004">
      <c r="A8" s="242">
        <f t="shared" ref="A8:A36" si="7">A7+1</f>
        <v>45903</v>
      </c>
      <c r="B8" s="230">
        <f t="shared" ref="B8:B36" si="8">A8</f>
        <v>45903</v>
      </c>
      <c r="C8" s="231">
        <v>4754.8387096774195</v>
      </c>
      <c r="D8" s="232">
        <f>'Sales Management Sheet'!AK6</f>
        <v>0</v>
      </c>
      <c r="E8" s="233">
        <f t="shared" si="1"/>
        <v>0</v>
      </c>
      <c r="F8" s="234">
        <v>3</v>
      </c>
      <c r="G8" s="235">
        <f t="shared" si="2"/>
        <v>150</v>
      </c>
      <c r="H8" s="236">
        <f t="shared" si="3"/>
        <v>4904.8387096774195</v>
      </c>
      <c r="I8" s="243">
        <f>SUM(I7+H8)</f>
        <v>14714.516129032258</v>
      </c>
      <c r="J8" s="237"/>
      <c r="K8" s="238">
        <f>'Sales Management Sheet'!H6</f>
        <v>0</v>
      </c>
      <c r="L8" s="243">
        <f t="shared" si="4"/>
        <v>0</v>
      </c>
      <c r="M8" s="239" t="e">
        <f t="shared" si="5"/>
        <v>#DIV/0!</v>
      </c>
      <c r="N8" s="240" t="e">
        <f t="shared" si="6"/>
        <v>#DIV/0!</v>
      </c>
      <c r="O8" s="241" t="e">
        <f t="shared" si="0"/>
        <v>#DIV/0!</v>
      </c>
    </row>
    <row r="9" spans="1:15" ht="24" x14ac:dyDescent="0.55000000000000004">
      <c r="A9" s="242">
        <f t="shared" si="7"/>
        <v>45904</v>
      </c>
      <c r="B9" s="230">
        <f t="shared" si="8"/>
        <v>45904</v>
      </c>
      <c r="C9" s="231">
        <v>4754.8387096774195</v>
      </c>
      <c r="D9" s="232">
        <f>'Sales Management Sheet'!AK7</f>
        <v>0</v>
      </c>
      <c r="E9" s="233">
        <f t="shared" si="1"/>
        <v>0</v>
      </c>
      <c r="F9" s="234">
        <v>3</v>
      </c>
      <c r="G9" s="235">
        <f t="shared" si="2"/>
        <v>150</v>
      </c>
      <c r="H9" s="236">
        <f t="shared" si="3"/>
        <v>4904.8387096774195</v>
      </c>
      <c r="I9" s="243">
        <f t="shared" ref="I9:I36" si="9">SUM(I8+H9)</f>
        <v>19619.354838709678</v>
      </c>
      <c r="J9" s="237"/>
      <c r="K9" s="238">
        <f>'Sales Management Sheet'!H7</f>
        <v>0</v>
      </c>
      <c r="L9" s="243">
        <f t="shared" si="4"/>
        <v>0</v>
      </c>
      <c r="M9" s="239" t="e">
        <f t="shared" si="5"/>
        <v>#DIV/0!</v>
      </c>
      <c r="N9" s="240" t="e">
        <f t="shared" si="6"/>
        <v>#DIV/0!</v>
      </c>
      <c r="O9" s="241" t="e">
        <f t="shared" si="0"/>
        <v>#DIV/0!</v>
      </c>
    </row>
    <row r="10" spans="1:15" ht="24" x14ac:dyDescent="0.55000000000000004">
      <c r="A10" s="242">
        <f t="shared" si="7"/>
        <v>45905</v>
      </c>
      <c r="B10" s="230">
        <f t="shared" si="8"/>
        <v>45905</v>
      </c>
      <c r="C10" s="231">
        <v>4754.8387096774195</v>
      </c>
      <c r="D10" s="232">
        <f>'Sales Management Sheet'!AK8</f>
        <v>0</v>
      </c>
      <c r="E10" s="233">
        <f t="shared" si="1"/>
        <v>0</v>
      </c>
      <c r="F10" s="234">
        <v>3</v>
      </c>
      <c r="G10" s="235">
        <f t="shared" si="2"/>
        <v>150</v>
      </c>
      <c r="H10" s="236">
        <f t="shared" si="3"/>
        <v>4904.8387096774195</v>
      </c>
      <c r="I10" s="243">
        <f t="shared" si="9"/>
        <v>24524.193548387098</v>
      </c>
      <c r="J10" s="237"/>
      <c r="K10" s="238">
        <f>'Sales Management Sheet'!H8</f>
        <v>0</v>
      </c>
      <c r="L10" s="243">
        <f t="shared" si="4"/>
        <v>0</v>
      </c>
      <c r="M10" s="239" t="e">
        <f t="shared" si="5"/>
        <v>#DIV/0!</v>
      </c>
      <c r="N10" s="240" t="e">
        <f t="shared" si="6"/>
        <v>#DIV/0!</v>
      </c>
      <c r="O10" s="241" t="e">
        <f t="shared" si="0"/>
        <v>#DIV/0!</v>
      </c>
    </row>
    <row r="11" spans="1:15" ht="24" x14ac:dyDescent="0.55000000000000004">
      <c r="A11" s="242">
        <f t="shared" si="7"/>
        <v>45906</v>
      </c>
      <c r="B11" s="230">
        <f t="shared" si="8"/>
        <v>45906</v>
      </c>
      <c r="C11" s="231">
        <v>4754.8387096774195</v>
      </c>
      <c r="D11" s="232">
        <f>'Sales Management Sheet'!AK9</f>
        <v>0</v>
      </c>
      <c r="E11" s="233">
        <f t="shared" si="1"/>
        <v>0</v>
      </c>
      <c r="F11" s="234">
        <v>2</v>
      </c>
      <c r="G11" s="235">
        <f t="shared" si="2"/>
        <v>100</v>
      </c>
      <c r="H11" s="236">
        <f t="shared" si="3"/>
        <v>4854.8387096774195</v>
      </c>
      <c r="I11" s="243">
        <f t="shared" si="9"/>
        <v>29379.032258064519</v>
      </c>
      <c r="J11" s="237"/>
      <c r="K11" s="238">
        <f>'Sales Management Sheet'!H9</f>
        <v>0</v>
      </c>
      <c r="L11" s="243">
        <f t="shared" si="4"/>
        <v>0</v>
      </c>
      <c r="M11" s="239" t="e">
        <f t="shared" si="5"/>
        <v>#DIV/0!</v>
      </c>
      <c r="N11" s="240" t="e">
        <f t="shared" si="6"/>
        <v>#DIV/0!</v>
      </c>
      <c r="O11" s="241" t="e">
        <f t="shared" si="0"/>
        <v>#DIV/0!</v>
      </c>
    </row>
    <row r="12" spans="1:15" ht="24" x14ac:dyDescent="0.55000000000000004">
      <c r="A12" s="242">
        <f t="shared" si="7"/>
        <v>45907</v>
      </c>
      <c r="B12" s="230">
        <f t="shared" si="8"/>
        <v>45907</v>
      </c>
      <c r="C12" s="231">
        <v>4754.8387096774195</v>
      </c>
      <c r="D12" s="232">
        <f>'Sales Management Sheet'!AK10</f>
        <v>0</v>
      </c>
      <c r="E12" s="233">
        <f t="shared" si="1"/>
        <v>0</v>
      </c>
      <c r="F12" s="234">
        <v>2</v>
      </c>
      <c r="G12" s="235">
        <f t="shared" si="2"/>
        <v>100</v>
      </c>
      <c r="H12" s="236">
        <f t="shared" si="3"/>
        <v>4854.8387096774195</v>
      </c>
      <c r="I12" s="243">
        <f t="shared" si="9"/>
        <v>34233.870967741939</v>
      </c>
      <c r="J12" s="237"/>
      <c r="K12" s="238">
        <f>'Sales Management Sheet'!H10</f>
        <v>0</v>
      </c>
      <c r="L12" s="243">
        <f t="shared" si="4"/>
        <v>0</v>
      </c>
      <c r="M12" s="239" t="e">
        <f t="shared" si="5"/>
        <v>#DIV/0!</v>
      </c>
      <c r="N12" s="240" t="e">
        <f t="shared" si="6"/>
        <v>#DIV/0!</v>
      </c>
      <c r="O12" s="241" t="e">
        <f t="shared" si="0"/>
        <v>#DIV/0!</v>
      </c>
    </row>
    <row r="13" spans="1:15" ht="24" x14ac:dyDescent="0.55000000000000004">
      <c r="A13" s="242">
        <f t="shared" si="7"/>
        <v>45908</v>
      </c>
      <c r="B13" s="230">
        <f t="shared" si="8"/>
        <v>45908</v>
      </c>
      <c r="C13" s="231">
        <v>4754.8387096774195</v>
      </c>
      <c r="D13" s="232">
        <f>'Sales Management Sheet'!AK11</f>
        <v>0</v>
      </c>
      <c r="E13" s="233">
        <f t="shared" si="1"/>
        <v>0</v>
      </c>
      <c r="F13" s="234">
        <v>4</v>
      </c>
      <c r="G13" s="235">
        <f t="shared" si="2"/>
        <v>200</v>
      </c>
      <c r="H13" s="236">
        <f t="shared" si="3"/>
        <v>4954.8387096774195</v>
      </c>
      <c r="I13" s="243">
        <f t="shared" si="9"/>
        <v>39188.709677419356</v>
      </c>
      <c r="J13" s="237"/>
      <c r="K13" s="238">
        <f>'Sales Management Sheet'!H11</f>
        <v>0</v>
      </c>
      <c r="L13" s="243">
        <f t="shared" si="4"/>
        <v>0</v>
      </c>
      <c r="M13" s="239" t="e">
        <f t="shared" si="5"/>
        <v>#DIV/0!</v>
      </c>
      <c r="N13" s="240" t="e">
        <f t="shared" si="6"/>
        <v>#DIV/0!</v>
      </c>
      <c r="O13" s="241" t="e">
        <f t="shared" si="0"/>
        <v>#DIV/0!</v>
      </c>
    </row>
    <row r="14" spans="1:15" ht="24" x14ac:dyDescent="0.55000000000000004">
      <c r="A14" s="242">
        <f t="shared" si="7"/>
        <v>45909</v>
      </c>
      <c r="B14" s="230">
        <f t="shared" si="8"/>
        <v>45909</v>
      </c>
      <c r="C14" s="231">
        <v>4754.8387096774195</v>
      </c>
      <c r="D14" s="232">
        <f>'Sales Management Sheet'!AK12</f>
        <v>0</v>
      </c>
      <c r="E14" s="233">
        <f t="shared" si="1"/>
        <v>0</v>
      </c>
      <c r="F14" s="234">
        <v>3</v>
      </c>
      <c r="G14" s="235">
        <f t="shared" si="2"/>
        <v>150</v>
      </c>
      <c r="H14" s="236">
        <f t="shared" si="3"/>
        <v>4904.8387096774195</v>
      </c>
      <c r="I14" s="243">
        <f t="shared" si="9"/>
        <v>44093.548387096773</v>
      </c>
      <c r="J14" s="237"/>
      <c r="K14" s="238">
        <f>'Sales Management Sheet'!H12</f>
        <v>0</v>
      </c>
      <c r="L14" s="243">
        <f t="shared" si="4"/>
        <v>0</v>
      </c>
      <c r="M14" s="239" t="e">
        <f t="shared" si="5"/>
        <v>#DIV/0!</v>
      </c>
      <c r="N14" s="240" t="e">
        <f t="shared" si="6"/>
        <v>#DIV/0!</v>
      </c>
      <c r="O14" s="241" t="e">
        <f t="shared" si="0"/>
        <v>#DIV/0!</v>
      </c>
    </row>
    <row r="15" spans="1:15" ht="24" x14ac:dyDescent="0.55000000000000004">
      <c r="A15" s="242">
        <f t="shared" si="7"/>
        <v>45910</v>
      </c>
      <c r="B15" s="230">
        <f t="shared" si="8"/>
        <v>45910</v>
      </c>
      <c r="C15" s="231">
        <v>4754.8387096774195</v>
      </c>
      <c r="D15" s="232">
        <f>'Sales Management Sheet'!AK13</f>
        <v>0</v>
      </c>
      <c r="E15" s="233">
        <f t="shared" si="1"/>
        <v>0</v>
      </c>
      <c r="F15" s="234">
        <v>3</v>
      </c>
      <c r="G15" s="235">
        <f t="shared" si="2"/>
        <v>150</v>
      </c>
      <c r="H15" s="236">
        <f t="shared" si="3"/>
        <v>4904.8387096774195</v>
      </c>
      <c r="I15" s="243">
        <f t="shared" si="9"/>
        <v>48998.38709677419</v>
      </c>
      <c r="J15" s="237"/>
      <c r="K15" s="238">
        <f>'Sales Management Sheet'!H13</f>
        <v>0</v>
      </c>
      <c r="L15" s="243">
        <f t="shared" si="4"/>
        <v>0</v>
      </c>
      <c r="M15" s="239" t="e">
        <f t="shared" si="5"/>
        <v>#DIV/0!</v>
      </c>
      <c r="N15" s="240" t="e">
        <f t="shared" si="6"/>
        <v>#DIV/0!</v>
      </c>
      <c r="O15" s="241" t="e">
        <f t="shared" si="0"/>
        <v>#DIV/0!</v>
      </c>
    </row>
    <row r="16" spans="1:15" ht="24" x14ac:dyDescent="0.55000000000000004">
      <c r="A16" s="242">
        <f t="shared" si="7"/>
        <v>45911</v>
      </c>
      <c r="B16" s="230">
        <f t="shared" si="8"/>
        <v>45911</v>
      </c>
      <c r="C16" s="231">
        <v>4754.8387096774195</v>
      </c>
      <c r="D16" s="232">
        <f>'Sales Management Sheet'!AK14</f>
        <v>0</v>
      </c>
      <c r="E16" s="233">
        <f>D16*$E$4</f>
        <v>0</v>
      </c>
      <c r="F16" s="234">
        <v>3</v>
      </c>
      <c r="G16" s="235">
        <f t="shared" si="2"/>
        <v>150</v>
      </c>
      <c r="H16" s="236">
        <f t="shared" si="3"/>
        <v>4904.8387096774195</v>
      </c>
      <c r="I16" s="243">
        <f t="shared" si="9"/>
        <v>53903.225806451606</v>
      </c>
      <c r="J16" s="237"/>
      <c r="K16" s="238">
        <f>'Sales Management Sheet'!H14</f>
        <v>0</v>
      </c>
      <c r="L16" s="243">
        <f t="shared" si="4"/>
        <v>0</v>
      </c>
      <c r="M16" s="239" t="e">
        <f t="shared" si="5"/>
        <v>#DIV/0!</v>
      </c>
      <c r="N16" s="240" t="e">
        <f t="shared" si="6"/>
        <v>#DIV/0!</v>
      </c>
      <c r="O16" s="241" t="e">
        <f t="shared" si="0"/>
        <v>#DIV/0!</v>
      </c>
    </row>
    <row r="17" spans="1:18" ht="24" x14ac:dyDescent="0.55000000000000004">
      <c r="A17" s="242">
        <f t="shared" si="7"/>
        <v>45912</v>
      </c>
      <c r="B17" s="230">
        <f t="shared" si="8"/>
        <v>45912</v>
      </c>
      <c r="C17" s="231">
        <v>4754.8387096774195</v>
      </c>
      <c r="D17" s="232">
        <f>'Sales Management Sheet'!AK15</f>
        <v>0</v>
      </c>
      <c r="E17" s="233">
        <f t="shared" si="1"/>
        <v>0</v>
      </c>
      <c r="F17" s="234">
        <v>3</v>
      </c>
      <c r="G17" s="235">
        <f t="shared" si="2"/>
        <v>150</v>
      </c>
      <c r="H17" s="236">
        <f t="shared" si="3"/>
        <v>4904.8387096774195</v>
      </c>
      <c r="I17" s="243">
        <f t="shared" si="9"/>
        <v>58808.064516129023</v>
      </c>
      <c r="J17" s="237"/>
      <c r="K17" s="238">
        <f>'Sales Management Sheet'!H15</f>
        <v>0</v>
      </c>
      <c r="L17" s="243">
        <f t="shared" si="4"/>
        <v>0</v>
      </c>
      <c r="M17" s="239" t="e">
        <f t="shared" si="5"/>
        <v>#DIV/0!</v>
      </c>
      <c r="N17" s="240" t="e">
        <f t="shared" si="6"/>
        <v>#DIV/0!</v>
      </c>
      <c r="O17" s="241" t="e">
        <f t="shared" si="0"/>
        <v>#DIV/0!</v>
      </c>
    </row>
    <row r="18" spans="1:18" ht="24" x14ac:dyDescent="0.55000000000000004">
      <c r="A18" s="242">
        <f t="shared" si="7"/>
        <v>45913</v>
      </c>
      <c r="B18" s="230">
        <f t="shared" si="8"/>
        <v>45913</v>
      </c>
      <c r="C18" s="231">
        <v>4754.8387096774195</v>
      </c>
      <c r="D18" s="232">
        <f>'Sales Management Sheet'!AK16</f>
        <v>0</v>
      </c>
      <c r="E18" s="233">
        <f>D18*$E$4</f>
        <v>0</v>
      </c>
      <c r="F18" s="234">
        <v>3</v>
      </c>
      <c r="G18" s="235">
        <f t="shared" si="2"/>
        <v>150</v>
      </c>
      <c r="H18" s="236">
        <f t="shared" si="3"/>
        <v>4904.8387096774195</v>
      </c>
      <c r="I18" s="243">
        <f t="shared" si="9"/>
        <v>63712.90322580644</v>
      </c>
      <c r="J18" s="237"/>
      <c r="K18" s="238">
        <f>'Sales Management Sheet'!H16</f>
        <v>0</v>
      </c>
      <c r="L18" s="243">
        <f t="shared" si="4"/>
        <v>0</v>
      </c>
      <c r="M18" s="239" t="e">
        <f t="shared" si="5"/>
        <v>#DIV/0!</v>
      </c>
      <c r="N18" s="240" t="e">
        <f t="shared" si="6"/>
        <v>#DIV/0!</v>
      </c>
      <c r="O18" s="241" t="e">
        <f t="shared" si="0"/>
        <v>#DIV/0!</v>
      </c>
    </row>
    <row r="19" spans="1:18" ht="24" x14ac:dyDescent="0.55000000000000004">
      <c r="A19" s="242">
        <f t="shared" si="7"/>
        <v>45914</v>
      </c>
      <c r="B19" s="230">
        <f t="shared" si="8"/>
        <v>45914</v>
      </c>
      <c r="C19" s="231">
        <v>4754.8387096774195</v>
      </c>
      <c r="D19" s="232">
        <f>'Sales Management Sheet'!AK17</f>
        <v>0</v>
      </c>
      <c r="E19" s="233">
        <f t="shared" si="1"/>
        <v>0</v>
      </c>
      <c r="F19" s="234">
        <v>3</v>
      </c>
      <c r="G19" s="235">
        <f t="shared" si="2"/>
        <v>150</v>
      </c>
      <c r="H19" s="236">
        <f t="shared" si="3"/>
        <v>4904.8387096774195</v>
      </c>
      <c r="I19" s="243">
        <f t="shared" si="9"/>
        <v>68617.741935483864</v>
      </c>
      <c r="J19" s="237"/>
      <c r="K19" s="238">
        <f>'Sales Management Sheet'!H17</f>
        <v>0</v>
      </c>
      <c r="L19" s="243">
        <f t="shared" si="4"/>
        <v>0</v>
      </c>
      <c r="M19" s="239" t="e">
        <f t="shared" si="5"/>
        <v>#DIV/0!</v>
      </c>
      <c r="N19" s="240" t="e">
        <f t="shared" si="6"/>
        <v>#DIV/0!</v>
      </c>
      <c r="O19" s="241" t="e">
        <f t="shared" si="0"/>
        <v>#DIV/0!</v>
      </c>
    </row>
    <row r="20" spans="1:18" ht="24" x14ac:dyDescent="0.55000000000000004">
      <c r="A20" s="242">
        <f t="shared" si="7"/>
        <v>45915</v>
      </c>
      <c r="B20" s="230">
        <f t="shared" si="8"/>
        <v>45915</v>
      </c>
      <c r="C20" s="231">
        <v>4754.8387096774195</v>
      </c>
      <c r="D20" s="232">
        <f>'Sales Management Sheet'!AK18</f>
        <v>0</v>
      </c>
      <c r="E20" s="233">
        <f t="shared" si="1"/>
        <v>0</v>
      </c>
      <c r="F20" s="234">
        <v>3</v>
      </c>
      <c r="G20" s="235">
        <f t="shared" si="2"/>
        <v>150</v>
      </c>
      <c r="H20" s="236">
        <f t="shared" si="3"/>
        <v>4904.8387096774195</v>
      </c>
      <c r="I20" s="243">
        <f t="shared" si="9"/>
        <v>73522.580645161288</v>
      </c>
      <c r="J20" s="237" t="s">
        <v>297</v>
      </c>
      <c r="K20" s="238">
        <f>'Sales Management Sheet'!H18</f>
        <v>0</v>
      </c>
      <c r="L20" s="243">
        <f t="shared" si="4"/>
        <v>0</v>
      </c>
      <c r="M20" s="239" t="e">
        <f t="shared" si="5"/>
        <v>#DIV/0!</v>
      </c>
      <c r="N20" s="240" t="e">
        <f t="shared" si="6"/>
        <v>#DIV/0!</v>
      </c>
      <c r="O20" s="241" t="e">
        <f t="shared" si="0"/>
        <v>#DIV/0!</v>
      </c>
    </row>
    <row r="21" spans="1:18" ht="24" x14ac:dyDescent="0.55000000000000004">
      <c r="A21" s="242">
        <f t="shared" si="7"/>
        <v>45916</v>
      </c>
      <c r="B21" s="230">
        <f t="shared" si="8"/>
        <v>45916</v>
      </c>
      <c r="C21" s="231">
        <v>4754.8387096774195</v>
      </c>
      <c r="D21" s="232">
        <f>'Sales Management Sheet'!AK19</f>
        <v>0</v>
      </c>
      <c r="E21" s="233">
        <f>D21*$E$4</f>
        <v>0</v>
      </c>
      <c r="F21" s="234">
        <v>3</v>
      </c>
      <c r="G21" s="235">
        <f t="shared" si="2"/>
        <v>150</v>
      </c>
      <c r="H21" s="236">
        <f t="shared" si="3"/>
        <v>4904.8387096774195</v>
      </c>
      <c r="I21" s="243">
        <f t="shared" si="9"/>
        <v>78427.419354838712</v>
      </c>
      <c r="J21" s="237"/>
      <c r="K21" s="238">
        <f>'Sales Management Sheet'!H19</f>
        <v>0</v>
      </c>
      <c r="L21" s="243">
        <f t="shared" si="4"/>
        <v>0</v>
      </c>
      <c r="M21" s="239" t="e">
        <f t="shared" si="5"/>
        <v>#DIV/0!</v>
      </c>
      <c r="N21" s="240" t="e">
        <f t="shared" si="6"/>
        <v>#DIV/0!</v>
      </c>
      <c r="O21" s="241" t="e">
        <f t="shared" si="0"/>
        <v>#DIV/0!</v>
      </c>
    </row>
    <row r="22" spans="1:18" ht="24" x14ac:dyDescent="0.55000000000000004">
      <c r="A22" s="242">
        <f t="shared" si="7"/>
        <v>45917</v>
      </c>
      <c r="B22" s="230">
        <f t="shared" si="8"/>
        <v>45917</v>
      </c>
      <c r="C22" s="231">
        <v>4754.8387096774195</v>
      </c>
      <c r="D22" s="232">
        <f>'Sales Management Sheet'!AK20</f>
        <v>0</v>
      </c>
      <c r="E22" s="233">
        <f t="shared" si="1"/>
        <v>0</v>
      </c>
      <c r="F22" s="234">
        <v>3</v>
      </c>
      <c r="G22" s="235">
        <f t="shared" si="2"/>
        <v>150</v>
      </c>
      <c r="H22" s="236">
        <f t="shared" si="3"/>
        <v>4904.8387096774195</v>
      </c>
      <c r="I22" s="243">
        <f t="shared" si="9"/>
        <v>83332.258064516136</v>
      </c>
      <c r="J22" s="237"/>
      <c r="K22" s="238">
        <f>'Sales Management Sheet'!H20</f>
        <v>0</v>
      </c>
      <c r="L22" s="243">
        <f t="shared" si="4"/>
        <v>0</v>
      </c>
      <c r="M22" s="239" t="e">
        <f t="shared" si="5"/>
        <v>#DIV/0!</v>
      </c>
      <c r="N22" s="240" t="e">
        <f t="shared" si="6"/>
        <v>#DIV/0!</v>
      </c>
      <c r="O22" s="241" t="e">
        <f t="shared" si="0"/>
        <v>#DIV/0!</v>
      </c>
    </row>
    <row r="23" spans="1:18" ht="24" x14ac:dyDescent="0.55000000000000004">
      <c r="A23" s="242">
        <f t="shared" si="7"/>
        <v>45918</v>
      </c>
      <c r="B23" s="230">
        <f t="shared" si="8"/>
        <v>45918</v>
      </c>
      <c r="C23" s="231">
        <v>4754.8387096774195</v>
      </c>
      <c r="D23" s="232">
        <f>'Sales Management Sheet'!AK21</f>
        <v>0</v>
      </c>
      <c r="E23" s="233">
        <f t="shared" si="1"/>
        <v>0</v>
      </c>
      <c r="F23" s="234">
        <v>3</v>
      </c>
      <c r="G23" s="235">
        <f t="shared" si="2"/>
        <v>150</v>
      </c>
      <c r="H23" s="236">
        <f t="shared" si="3"/>
        <v>4904.8387096774195</v>
      </c>
      <c r="I23" s="243">
        <f t="shared" si="9"/>
        <v>88237.09677419356</v>
      </c>
      <c r="J23" s="237"/>
      <c r="K23" s="238">
        <f>'Sales Management Sheet'!H21</f>
        <v>0</v>
      </c>
      <c r="L23" s="243">
        <f t="shared" si="4"/>
        <v>0</v>
      </c>
      <c r="M23" s="239" t="e">
        <f t="shared" si="5"/>
        <v>#DIV/0!</v>
      </c>
      <c r="N23" s="240" t="e">
        <f t="shared" si="6"/>
        <v>#DIV/0!</v>
      </c>
      <c r="O23" s="241" t="e">
        <f t="shared" si="0"/>
        <v>#DIV/0!</v>
      </c>
    </row>
    <row r="24" spans="1:18" ht="24" x14ac:dyDescent="0.55000000000000004">
      <c r="A24" s="242">
        <f t="shared" si="7"/>
        <v>45919</v>
      </c>
      <c r="B24" s="230">
        <f t="shared" si="8"/>
        <v>45919</v>
      </c>
      <c r="C24" s="231">
        <v>4754.8387096774195</v>
      </c>
      <c r="D24" s="232">
        <f>'Sales Management Sheet'!AK22</f>
        <v>0</v>
      </c>
      <c r="E24" s="233">
        <f t="shared" si="1"/>
        <v>0</v>
      </c>
      <c r="F24" s="234">
        <v>3</v>
      </c>
      <c r="G24" s="235">
        <f t="shared" si="2"/>
        <v>150</v>
      </c>
      <c r="H24" s="236">
        <f t="shared" si="3"/>
        <v>4904.8387096774195</v>
      </c>
      <c r="I24" s="243">
        <f t="shared" si="9"/>
        <v>93141.935483870984</v>
      </c>
      <c r="J24" s="237"/>
      <c r="K24" s="238">
        <f>'Sales Management Sheet'!H22</f>
        <v>0</v>
      </c>
      <c r="L24" s="243">
        <f t="shared" si="4"/>
        <v>0</v>
      </c>
      <c r="M24" s="239" t="e">
        <f t="shared" si="5"/>
        <v>#DIV/0!</v>
      </c>
      <c r="N24" s="240" t="e">
        <f t="shared" si="6"/>
        <v>#DIV/0!</v>
      </c>
      <c r="O24" s="241" t="e">
        <f t="shared" si="0"/>
        <v>#DIV/0!</v>
      </c>
    </row>
    <row r="25" spans="1:18" ht="24" x14ac:dyDescent="0.55000000000000004">
      <c r="A25" s="242">
        <f t="shared" si="7"/>
        <v>45920</v>
      </c>
      <c r="B25" s="230">
        <f t="shared" si="8"/>
        <v>45920</v>
      </c>
      <c r="C25" s="231">
        <v>4754.8387096774195</v>
      </c>
      <c r="D25" s="232">
        <f>'Sales Management Sheet'!AK23</f>
        <v>0</v>
      </c>
      <c r="E25" s="233">
        <f t="shared" si="1"/>
        <v>0</v>
      </c>
      <c r="F25" s="234">
        <v>3</v>
      </c>
      <c r="G25" s="235">
        <f t="shared" si="2"/>
        <v>150</v>
      </c>
      <c r="H25" s="236">
        <f t="shared" si="3"/>
        <v>4904.8387096774195</v>
      </c>
      <c r="I25" s="243">
        <f t="shared" si="9"/>
        <v>98046.774193548408</v>
      </c>
      <c r="J25" s="237"/>
      <c r="K25" s="238">
        <f>'Sales Management Sheet'!H23</f>
        <v>0</v>
      </c>
      <c r="L25" s="243">
        <f t="shared" si="4"/>
        <v>0</v>
      </c>
      <c r="M25" s="239" t="e">
        <f t="shared" si="5"/>
        <v>#DIV/0!</v>
      </c>
      <c r="N25" s="240" t="e">
        <f t="shared" si="6"/>
        <v>#DIV/0!</v>
      </c>
      <c r="O25" s="241" t="e">
        <f t="shared" si="0"/>
        <v>#DIV/0!</v>
      </c>
    </row>
    <row r="26" spans="1:18" ht="24" x14ac:dyDescent="0.55000000000000004">
      <c r="A26" s="242">
        <f t="shared" si="7"/>
        <v>45921</v>
      </c>
      <c r="B26" s="230">
        <f t="shared" si="8"/>
        <v>45921</v>
      </c>
      <c r="C26" s="231">
        <v>4754.8387096774195</v>
      </c>
      <c r="D26" s="232">
        <f>'Sales Management Sheet'!AK24</f>
        <v>0</v>
      </c>
      <c r="E26" s="233">
        <f t="shared" si="1"/>
        <v>0</v>
      </c>
      <c r="F26" s="234">
        <v>3</v>
      </c>
      <c r="G26" s="235">
        <f t="shared" si="2"/>
        <v>150</v>
      </c>
      <c r="H26" s="236">
        <f t="shared" si="3"/>
        <v>4904.8387096774195</v>
      </c>
      <c r="I26" s="243">
        <f t="shared" si="9"/>
        <v>102951.61290322583</v>
      </c>
      <c r="J26" s="237"/>
      <c r="K26" s="238">
        <f>'Sales Management Sheet'!H24</f>
        <v>0</v>
      </c>
      <c r="L26" s="243">
        <f t="shared" si="4"/>
        <v>0</v>
      </c>
      <c r="M26" s="239" t="e">
        <f t="shared" si="5"/>
        <v>#DIV/0!</v>
      </c>
      <c r="N26" s="240" t="e">
        <f t="shared" si="6"/>
        <v>#DIV/0!</v>
      </c>
      <c r="O26" s="241" t="e">
        <f t="shared" si="0"/>
        <v>#DIV/0!</v>
      </c>
    </row>
    <row r="27" spans="1:18" ht="24" x14ac:dyDescent="0.55000000000000004">
      <c r="A27" s="242">
        <f t="shared" si="7"/>
        <v>45922</v>
      </c>
      <c r="B27" s="230">
        <f t="shared" si="8"/>
        <v>45922</v>
      </c>
      <c r="C27" s="231">
        <v>4754.8387096774195</v>
      </c>
      <c r="D27" s="232">
        <f>'Sales Management Sheet'!AK25</f>
        <v>0</v>
      </c>
      <c r="E27" s="233">
        <f>D27*$E$4</f>
        <v>0</v>
      </c>
      <c r="F27" s="234">
        <v>3</v>
      </c>
      <c r="G27" s="235">
        <f t="shared" si="2"/>
        <v>150</v>
      </c>
      <c r="H27" s="236">
        <f t="shared" si="3"/>
        <v>4904.8387096774195</v>
      </c>
      <c r="I27" s="243">
        <f t="shared" si="9"/>
        <v>107856.45161290326</v>
      </c>
      <c r="J27" s="237"/>
      <c r="K27" s="238">
        <f>'Sales Management Sheet'!H25</f>
        <v>0</v>
      </c>
      <c r="L27" s="243">
        <f t="shared" si="4"/>
        <v>0</v>
      </c>
      <c r="M27" s="239" t="e">
        <f t="shared" si="5"/>
        <v>#DIV/0!</v>
      </c>
      <c r="N27" s="240" t="e">
        <f t="shared" si="6"/>
        <v>#DIV/0!</v>
      </c>
      <c r="O27" s="241" t="e">
        <f t="shared" si="0"/>
        <v>#DIV/0!</v>
      </c>
    </row>
    <row r="28" spans="1:18" ht="24" x14ac:dyDescent="0.55000000000000004">
      <c r="A28" s="242">
        <f t="shared" si="7"/>
        <v>45923</v>
      </c>
      <c r="B28" s="230">
        <f t="shared" si="8"/>
        <v>45923</v>
      </c>
      <c r="C28" s="231">
        <v>4754.8387096774195</v>
      </c>
      <c r="D28" s="232">
        <f>'Sales Management Sheet'!AK26</f>
        <v>0</v>
      </c>
      <c r="E28" s="233">
        <f t="shared" si="1"/>
        <v>0</v>
      </c>
      <c r="F28" s="234">
        <v>3</v>
      </c>
      <c r="G28" s="235">
        <f t="shared" si="2"/>
        <v>150</v>
      </c>
      <c r="H28" s="236">
        <f t="shared" si="3"/>
        <v>4904.8387096774195</v>
      </c>
      <c r="I28" s="243">
        <f t="shared" si="9"/>
        <v>112761.29032258068</v>
      </c>
      <c r="J28" s="237"/>
      <c r="K28" s="238">
        <f>'Sales Management Sheet'!H26</f>
        <v>0</v>
      </c>
      <c r="L28" s="243">
        <f t="shared" si="4"/>
        <v>0</v>
      </c>
      <c r="M28" s="239" t="e">
        <f t="shared" si="5"/>
        <v>#DIV/0!</v>
      </c>
      <c r="N28" s="240" t="e">
        <f t="shared" si="6"/>
        <v>#DIV/0!</v>
      </c>
      <c r="O28" s="241" t="e">
        <f t="shared" si="0"/>
        <v>#DIV/0!</v>
      </c>
    </row>
    <row r="29" spans="1:18" ht="24" x14ac:dyDescent="0.55000000000000004">
      <c r="A29" s="242">
        <f t="shared" si="7"/>
        <v>45924</v>
      </c>
      <c r="B29" s="230">
        <f t="shared" si="8"/>
        <v>45924</v>
      </c>
      <c r="C29" s="231">
        <v>4754.8387096774195</v>
      </c>
      <c r="D29" s="232">
        <f>'Sales Management Sheet'!AK27</f>
        <v>0</v>
      </c>
      <c r="E29" s="233">
        <f t="shared" si="1"/>
        <v>0</v>
      </c>
      <c r="F29" s="234"/>
      <c r="G29" s="235">
        <f t="shared" si="2"/>
        <v>0</v>
      </c>
      <c r="H29" s="236">
        <f t="shared" si="3"/>
        <v>4754.8387096774195</v>
      </c>
      <c r="I29" s="243">
        <f t="shared" si="9"/>
        <v>117516.1290322581</v>
      </c>
      <c r="J29" s="237"/>
      <c r="K29" s="238">
        <f>'Sales Management Sheet'!H27</f>
        <v>0</v>
      </c>
      <c r="L29" s="243">
        <f t="shared" si="4"/>
        <v>0</v>
      </c>
      <c r="M29" s="239" t="e">
        <f t="shared" si="5"/>
        <v>#DIV/0!</v>
      </c>
      <c r="N29" s="240" t="e">
        <f t="shared" si="6"/>
        <v>#DIV/0!</v>
      </c>
      <c r="O29" s="241" t="e">
        <f t="shared" si="0"/>
        <v>#DIV/0!</v>
      </c>
      <c r="R29" t="s">
        <v>297</v>
      </c>
    </row>
    <row r="30" spans="1:18" ht="24" x14ac:dyDescent="0.55000000000000004">
      <c r="A30" s="242">
        <f t="shared" si="7"/>
        <v>45925</v>
      </c>
      <c r="B30" s="230">
        <f t="shared" si="8"/>
        <v>45925</v>
      </c>
      <c r="C30" s="231">
        <v>4754.8387096774195</v>
      </c>
      <c r="D30" s="232">
        <f>'Sales Management Sheet'!AK28</f>
        <v>0</v>
      </c>
      <c r="E30" s="233">
        <f t="shared" si="1"/>
        <v>0</v>
      </c>
      <c r="F30" s="234"/>
      <c r="G30" s="235">
        <f t="shared" si="2"/>
        <v>0</v>
      </c>
      <c r="H30" s="236">
        <f t="shared" si="3"/>
        <v>4754.8387096774195</v>
      </c>
      <c r="I30" s="243">
        <f t="shared" si="9"/>
        <v>122270.96774193553</v>
      </c>
      <c r="J30" s="237"/>
      <c r="K30" s="238">
        <f>'Sales Management Sheet'!H28</f>
        <v>0</v>
      </c>
      <c r="L30" s="243">
        <f t="shared" si="4"/>
        <v>0</v>
      </c>
      <c r="M30" s="239" t="e">
        <f t="shared" si="5"/>
        <v>#DIV/0!</v>
      </c>
      <c r="N30" s="240" t="e">
        <f t="shared" si="6"/>
        <v>#DIV/0!</v>
      </c>
      <c r="O30" s="241" t="e">
        <f t="shared" si="0"/>
        <v>#DIV/0!</v>
      </c>
    </row>
    <row r="31" spans="1:18" ht="24" x14ac:dyDescent="0.55000000000000004">
      <c r="A31" s="242">
        <f t="shared" si="7"/>
        <v>45926</v>
      </c>
      <c r="B31" s="230">
        <f t="shared" si="8"/>
        <v>45926</v>
      </c>
      <c r="C31" s="231">
        <v>4754.8387096774195</v>
      </c>
      <c r="D31" s="232">
        <f>'Sales Management Sheet'!AK29</f>
        <v>0</v>
      </c>
      <c r="E31" s="233">
        <f t="shared" si="1"/>
        <v>0</v>
      </c>
      <c r="F31" s="234"/>
      <c r="G31" s="235">
        <f t="shared" si="2"/>
        <v>0</v>
      </c>
      <c r="H31" s="236">
        <f t="shared" si="3"/>
        <v>4754.8387096774195</v>
      </c>
      <c r="I31" s="243">
        <f t="shared" si="9"/>
        <v>127025.80645161295</v>
      </c>
      <c r="J31" s="237"/>
      <c r="K31" s="238">
        <f>'Sales Management Sheet'!H29</f>
        <v>0</v>
      </c>
      <c r="L31" s="243">
        <f t="shared" si="4"/>
        <v>0</v>
      </c>
      <c r="M31" s="239" t="e">
        <f t="shared" si="5"/>
        <v>#DIV/0!</v>
      </c>
      <c r="N31" s="240" t="e">
        <f t="shared" si="6"/>
        <v>#DIV/0!</v>
      </c>
      <c r="O31" s="241" t="e">
        <f t="shared" si="0"/>
        <v>#DIV/0!</v>
      </c>
    </row>
    <row r="32" spans="1:18" ht="24" x14ac:dyDescent="0.55000000000000004">
      <c r="A32" s="242">
        <f t="shared" si="7"/>
        <v>45927</v>
      </c>
      <c r="B32" s="230">
        <f t="shared" si="8"/>
        <v>45927</v>
      </c>
      <c r="C32" s="231">
        <v>4754.8387096774195</v>
      </c>
      <c r="D32" s="232">
        <f>'Sales Management Sheet'!AK30</f>
        <v>0</v>
      </c>
      <c r="E32" s="233">
        <f>D32*$E$4</f>
        <v>0</v>
      </c>
      <c r="F32" s="234"/>
      <c r="G32" s="235">
        <f t="shared" si="2"/>
        <v>0</v>
      </c>
      <c r="H32" s="236">
        <f t="shared" si="3"/>
        <v>4754.8387096774195</v>
      </c>
      <c r="I32" s="243">
        <f t="shared" si="9"/>
        <v>131780.64516129036</v>
      </c>
      <c r="J32" s="237"/>
      <c r="K32" s="238">
        <f>'Sales Management Sheet'!H30</f>
        <v>0</v>
      </c>
      <c r="L32" s="243">
        <f t="shared" si="4"/>
        <v>0</v>
      </c>
      <c r="M32" s="239" t="e">
        <f t="shared" si="5"/>
        <v>#DIV/0!</v>
      </c>
      <c r="N32" s="240" t="e">
        <f t="shared" si="6"/>
        <v>#DIV/0!</v>
      </c>
      <c r="O32" s="241" t="e">
        <f t="shared" si="0"/>
        <v>#DIV/0!</v>
      </c>
    </row>
    <row r="33" spans="1:15" ht="24" x14ac:dyDescent="0.55000000000000004">
      <c r="A33" s="242">
        <f t="shared" si="7"/>
        <v>45928</v>
      </c>
      <c r="B33" s="230">
        <f t="shared" si="8"/>
        <v>45928</v>
      </c>
      <c r="C33" s="231">
        <v>4754.8387096774195</v>
      </c>
      <c r="D33" s="232">
        <f>'Sales Management Sheet'!AK31</f>
        <v>0</v>
      </c>
      <c r="E33" s="233">
        <f t="shared" si="1"/>
        <v>0</v>
      </c>
      <c r="F33" s="234"/>
      <c r="G33" s="235">
        <f t="shared" si="2"/>
        <v>0</v>
      </c>
      <c r="H33" s="236">
        <f t="shared" si="3"/>
        <v>4754.8387096774195</v>
      </c>
      <c r="I33" s="243">
        <f t="shared" si="9"/>
        <v>136535.48387096779</v>
      </c>
      <c r="J33" s="237"/>
      <c r="K33" s="238">
        <f>'Sales Management Sheet'!H31</f>
        <v>0</v>
      </c>
      <c r="L33" s="243">
        <f t="shared" si="4"/>
        <v>0</v>
      </c>
      <c r="M33" s="239" t="e">
        <f t="shared" si="5"/>
        <v>#DIV/0!</v>
      </c>
      <c r="N33" s="240" t="e">
        <f t="shared" si="6"/>
        <v>#DIV/0!</v>
      </c>
      <c r="O33" s="241" t="e">
        <f t="shared" si="0"/>
        <v>#DIV/0!</v>
      </c>
    </row>
    <row r="34" spans="1:15" ht="24" x14ac:dyDescent="0.55000000000000004">
      <c r="A34" s="242">
        <f t="shared" si="7"/>
        <v>45929</v>
      </c>
      <c r="B34" s="230">
        <f t="shared" si="8"/>
        <v>45929</v>
      </c>
      <c r="C34" s="231">
        <v>4754.8387096774195</v>
      </c>
      <c r="D34" s="232">
        <f>'Sales Management Sheet'!AK32</f>
        <v>0</v>
      </c>
      <c r="E34" s="233">
        <f t="shared" si="1"/>
        <v>0</v>
      </c>
      <c r="F34" s="234"/>
      <c r="G34" s="235">
        <f t="shared" si="2"/>
        <v>0</v>
      </c>
      <c r="H34" s="236">
        <f t="shared" si="3"/>
        <v>4754.8387096774195</v>
      </c>
      <c r="I34" s="243">
        <f t="shared" si="9"/>
        <v>141290.32258064521</v>
      </c>
      <c r="J34" s="237"/>
      <c r="K34" s="238">
        <f>'Sales Management Sheet'!H32</f>
        <v>0</v>
      </c>
      <c r="L34" s="243">
        <f t="shared" si="4"/>
        <v>0</v>
      </c>
      <c r="M34" s="239" t="e">
        <f t="shared" si="5"/>
        <v>#DIV/0!</v>
      </c>
      <c r="N34" s="240" t="e">
        <f t="shared" si="6"/>
        <v>#DIV/0!</v>
      </c>
      <c r="O34" s="241" t="e">
        <f t="shared" si="0"/>
        <v>#DIV/0!</v>
      </c>
    </row>
    <row r="35" spans="1:15" ht="24" x14ac:dyDescent="0.55000000000000004">
      <c r="A35" s="242">
        <f t="shared" si="7"/>
        <v>45930</v>
      </c>
      <c r="B35" s="230">
        <f t="shared" si="8"/>
        <v>45930</v>
      </c>
      <c r="C35" s="231">
        <v>4754.8387096774195</v>
      </c>
      <c r="D35" s="232">
        <f>'Sales Management Sheet'!AK33</f>
        <v>0</v>
      </c>
      <c r="E35" s="233">
        <f t="shared" si="1"/>
        <v>0</v>
      </c>
      <c r="F35" s="234"/>
      <c r="G35" s="235">
        <f t="shared" si="2"/>
        <v>0</v>
      </c>
      <c r="H35" s="236">
        <f t="shared" si="3"/>
        <v>4754.8387096774195</v>
      </c>
      <c r="I35" s="243">
        <f t="shared" si="9"/>
        <v>146045.16129032263</v>
      </c>
      <c r="J35" s="237"/>
      <c r="K35" s="238">
        <f>'Sales Management Sheet'!H33</f>
        <v>0</v>
      </c>
      <c r="L35" s="243">
        <f t="shared" si="4"/>
        <v>0</v>
      </c>
      <c r="M35" s="239" t="e">
        <f t="shared" si="5"/>
        <v>#DIV/0!</v>
      </c>
      <c r="N35" s="240" t="e">
        <f t="shared" si="6"/>
        <v>#DIV/0!</v>
      </c>
      <c r="O35" s="241" t="e">
        <f t="shared" si="0"/>
        <v>#DIV/0!</v>
      </c>
    </row>
    <row r="36" spans="1:15" ht="24" x14ac:dyDescent="0.55000000000000004">
      <c r="A36" s="242">
        <f t="shared" si="7"/>
        <v>45931</v>
      </c>
      <c r="B36" s="230">
        <f t="shared" si="8"/>
        <v>45931</v>
      </c>
      <c r="C36" s="231">
        <v>4754.8387096774195</v>
      </c>
      <c r="D36" s="232">
        <f>'Sales Management Sheet'!AK34</f>
        <v>0</v>
      </c>
      <c r="E36" s="233">
        <f t="shared" si="1"/>
        <v>0</v>
      </c>
      <c r="F36" s="234"/>
      <c r="G36" s="235">
        <f t="shared" si="2"/>
        <v>0</v>
      </c>
      <c r="H36" s="236">
        <f t="shared" si="3"/>
        <v>4754.8387096774195</v>
      </c>
      <c r="I36" s="243">
        <f t="shared" si="9"/>
        <v>150800.00000000006</v>
      </c>
      <c r="J36" s="237"/>
      <c r="K36" s="238">
        <f>'Sales Management Sheet'!H34</f>
        <v>0</v>
      </c>
      <c r="L36" s="243">
        <f t="shared" si="4"/>
        <v>0</v>
      </c>
      <c r="M36" s="239" t="e">
        <f t="shared" si="5"/>
        <v>#DIV/0!</v>
      </c>
      <c r="N36" s="240" t="e">
        <f t="shared" si="6"/>
        <v>#DIV/0!</v>
      </c>
      <c r="O36" s="241" t="e">
        <f t="shared" si="0"/>
        <v>#DIV/0!</v>
      </c>
    </row>
    <row r="37" spans="1:15" s="216" customFormat="1" ht="24" thickBot="1" x14ac:dyDescent="0.55000000000000004">
      <c r="A37" s="284" t="s">
        <v>298</v>
      </c>
      <c r="B37" s="285"/>
      <c r="C37" s="244">
        <f>SUM(C6:C36)</f>
        <v>147400.00000000006</v>
      </c>
      <c r="D37" s="244">
        <f t="shared" ref="D37:K37" si="10">SUM(D6:D36)</f>
        <v>0</v>
      </c>
      <c r="E37" s="244">
        <f t="shared" si="10"/>
        <v>0</v>
      </c>
      <c r="F37" s="244">
        <f t="shared" si="10"/>
        <v>68</v>
      </c>
      <c r="G37" s="244">
        <f t="shared" si="10"/>
        <v>3400</v>
      </c>
      <c r="H37" s="244">
        <f t="shared" si="10"/>
        <v>150800.00000000006</v>
      </c>
      <c r="I37" s="244">
        <f>I36</f>
        <v>150800.00000000006</v>
      </c>
      <c r="J37" s="237"/>
      <c r="K37" s="244">
        <f t="shared" si="10"/>
        <v>0</v>
      </c>
      <c r="L37" s="245">
        <f>L36</f>
        <v>0</v>
      </c>
      <c r="M37" s="246" t="e">
        <f t="shared" si="5"/>
        <v>#DIV/0!</v>
      </c>
      <c r="N37" s="247" t="e">
        <f t="shared" si="6"/>
        <v>#DIV/0!</v>
      </c>
      <c r="O37" s="216" t="e">
        <f t="shared" si="0"/>
        <v>#DIV/0!</v>
      </c>
    </row>
    <row r="112" spans="13:13" x14ac:dyDescent="0.25">
      <c r="M112" t="s">
        <v>299</v>
      </c>
    </row>
  </sheetData>
  <mergeCells count="4">
    <mergeCell ref="A1:E1"/>
    <mergeCell ref="I1:J1"/>
    <mergeCell ref="A4:D4"/>
    <mergeCell ref="A37:B37"/>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F4F705-DDEF-4AD4-B3C2-60E4FAD17CDA}">
  <sheetPr>
    <tabColor rgb="FFFFFFCC"/>
  </sheetPr>
  <dimension ref="A2:G36"/>
  <sheetViews>
    <sheetView topLeftCell="A3" workbookViewId="0">
      <selection activeCell="H5" sqref="H5"/>
    </sheetView>
  </sheetViews>
  <sheetFormatPr defaultColWidth="8.5703125" defaultRowHeight="12.75" x14ac:dyDescent="0.2"/>
  <cols>
    <col min="1" max="1" width="16.5703125" style="147" bestFit="1" customWidth="1"/>
    <col min="2" max="2" width="13.42578125" style="147" bestFit="1" customWidth="1"/>
    <col min="3" max="6" width="16.5703125" style="147" customWidth="1"/>
    <col min="7" max="7" width="16.5703125" style="148" customWidth="1"/>
    <col min="8" max="16384" width="8.5703125" style="147"/>
  </cols>
  <sheetData>
    <row r="2" spans="1:7" s="152" customFormat="1" ht="26.25" x14ac:dyDescent="0.4">
      <c r="A2" s="275" t="s">
        <v>230</v>
      </c>
      <c r="B2" s="275"/>
      <c r="C2" s="275"/>
      <c r="D2" s="275"/>
      <c r="E2" s="275"/>
      <c r="F2" s="275"/>
      <c r="G2" s="275"/>
    </row>
    <row r="3" spans="1:7" ht="22.35" customHeight="1" x14ac:dyDescent="0.2">
      <c r="A3" s="162" t="s">
        <v>229</v>
      </c>
      <c r="B3" s="286"/>
      <c r="C3" s="286"/>
    </row>
    <row r="4" spans="1:7" s="149" customFormat="1" ht="28.7" customHeight="1" x14ac:dyDescent="0.25">
      <c r="A4" s="151" t="s">
        <v>21</v>
      </c>
      <c r="B4" s="153" t="s">
        <v>225</v>
      </c>
      <c r="C4" s="276" t="s">
        <v>224</v>
      </c>
      <c r="D4" s="276"/>
      <c r="E4" s="277" t="s">
        <v>227</v>
      </c>
      <c r="F4" s="277"/>
      <c r="G4" s="150" t="s">
        <v>223</v>
      </c>
    </row>
    <row r="5" spans="1:7" ht="15" customHeight="1" x14ac:dyDescent="0.2">
      <c r="A5" s="166">
        <v>45444</v>
      </c>
      <c r="B5" s="155">
        <f>D5+F5</f>
        <v>0</v>
      </c>
      <c r="C5" s="164"/>
      <c r="D5" s="156">
        <f>C5*67%</f>
        <v>0</v>
      </c>
      <c r="E5" s="165"/>
      <c r="F5" s="157">
        <f>E5*33%</f>
        <v>0</v>
      </c>
      <c r="G5" s="165"/>
    </row>
    <row r="6" spans="1:7" ht="15" customHeight="1" x14ac:dyDescent="0.2">
      <c r="A6" s="154">
        <f>A5+1</f>
        <v>45445</v>
      </c>
      <c r="B6" s="155">
        <f t="shared" ref="B6:B35" si="0">D6+F6</f>
        <v>0</v>
      </c>
      <c r="C6" s="164"/>
      <c r="D6" s="156">
        <f t="shared" ref="D6:D35" si="1">C6*67%</f>
        <v>0</v>
      </c>
      <c r="E6" s="165"/>
      <c r="F6" s="157">
        <f t="shared" ref="F6:F35" si="2">E6*33%</f>
        <v>0</v>
      </c>
      <c r="G6" s="165"/>
    </row>
    <row r="7" spans="1:7" ht="15" customHeight="1" x14ac:dyDescent="0.2">
      <c r="A7" s="154">
        <f t="shared" ref="A7:A35" si="3">A6+1</f>
        <v>45446</v>
      </c>
      <c r="B7" s="155">
        <f t="shared" si="0"/>
        <v>0</v>
      </c>
      <c r="C7" s="164"/>
      <c r="D7" s="156">
        <f t="shared" si="1"/>
        <v>0</v>
      </c>
      <c r="E7" s="165"/>
      <c r="F7" s="157">
        <f t="shared" si="2"/>
        <v>0</v>
      </c>
      <c r="G7" s="165"/>
    </row>
    <row r="8" spans="1:7" ht="15" customHeight="1" x14ac:dyDescent="0.2">
      <c r="A8" s="154">
        <f t="shared" si="3"/>
        <v>45447</v>
      </c>
      <c r="B8" s="155">
        <f t="shared" si="0"/>
        <v>0</v>
      </c>
      <c r="C8" s="164"/>
      <c r="D8" s="156">
        <f t="shared" si="1"/>
        <v>0</v>
      </c>
      <c r="E8" s="165"/>
      <c r="F8" s="157">
        <f t="shared" si="2"/>
        <v>0</v>
      </c>
      <c r="G8" s="165"/>
    </row>
    <row r="9" spans="1:7" ht="15" customHeight="1" x14ac:dyDescent="0.2">
      <c r="A9" s="154">
        <f t="shared" si="3"/>
        <v>45448</v>
      </c>
      <c r="B9" s="155">
        <f t="shared" si="0"/>
        <v>0</v>
      </c>
      <c r="C9" s="164"/>
      <c r="D9" s="156">
        <f t="shared" si="1"/>
        <v>0</v>
      </c>
      <c r="E9" s="165"/>
      <c r="F9" s="157">
        <f t="shared" si="2"/>
        <v>0</v>
      </c>
      <c r="G9" s="165"/>
    </row>
    <row r="10" spans="1:7" ht="15" customHeight="1" x14ac:dyDescent="0.2">
      <c r="A10" s="154">
        <f t="shared" si="3"/>
        <v>45449</v>
      </c>
      <c r="B10" s="155">
        <f t="shared" si="0"/>
        <v>0</v>
      </c>
      <c r="C10" s="164"/>
      <c r="D10" s="156">
        <f t="shared" si="1"/>
        <v>0</v>
      </c>
      <c r="E10" s="165"/>
      <c r="F10" s="157">
        <f>E10*33%</f>
        <v>0</v>
      </c>
      <c r="G10" s="165"/>
    </row>
    <row r="11" spans="1:7" ht="15" customHeight="1" x14ac:dyDescent="0.2">
      <c r="A11" s="154">
        <f t="shared" si="3"/>
        <v>45450</v>
      </c>
      <c r="B11" s="155">
        <f t="shared" si="0"/>
        <v>0</v>
      </c>
      <c r="C11" s="164"/>
      <c r="D11" s="156">
        <f t="shared" si="1"/>
        <v>0</v>
      </c>
      <c r="E11" s="165"/>
      <c r="F11" s="157">
        <f t="shared" si="2"/>
        <v>0</v>
      </c>
      <c r="G11" s="165"/>
    </row>
    <row r="12" spans="1:7" ht="15" customHeight="1" x14ac:dyDescent="0.2">
      <c r="A12" s="154">
        <f t="shared" si="3"/>
        <v>45451</v>
      </c>
      <c r="B12" s="155">
        <f t="shared" si="0"/>
        <v>0</v>
      </c>
      <c r="C12" s="164"/>
      <c r="D12" s="156">
        <f t="shared" si="1"/>
        <v>0</v>
      </c>
      <c r="E12" s="165"/>
      <c r="F12" s="157">
        <f t="shared" si="2"/>
        <v>0</v>
      </c>
      <c r="G12" s="165"/>
    </row>
    <row r="13" spans="1:7" ht="15" customHeight="1" x14ac:dyDescent="0.2">
      <c r="A13" s="154">
        <f t="shared" si="3"/>
        <v>45452</v>
      </c>
      <c r="B13" s="155">
        <f t="shared" si="0"/>
        <v>0</v>
      </c>
      <c r="C13" s="164"/>
      <c r="D13" s="156">
        <f t="shared" si="1"/>
        <v>0</v>
      </c>
      <c r="E13" s="165"/>
      <c r="F13" s="157">
        <f t="shared" si="2"/>
        <v>0</v>
      </c>
      <c r="G13" s="165"/>
    </row>
    <row r="14" spans="1:7" ht="15" customHeight="1" x14ac:dyDescent="0.2">
      <c r="A14" s="154">
        <f t="shared" si="3"/>
        <v>45453</v>
      </c>
      <c r="B14" s="155">
        <f t="shared" si="0"/>
        <v>0</v>
      </c>
      <c r="C14" s="164"/>
      <c r="D14" s="156">
        <f t="shared" si="1"/>
        <v>0</v>
      </c>
      <c r="E14" s="165"/>
      <c r="F14" s="157">
        <f t="shared" si="2"/>
        <v>0</v>
      </c>
      <c r="G14" s="165"/>
    </row>
    <row r="15" spans="1:7" ht="15" customHeight="1" x14ac:dyDescent="0.2">
      <c r="A15" s="154">
        <f t="shared" si="3"/>
        <v>45454</v>
      </c>
      <c r="B15" s="155">
        <f t="shared" si="0"/>
        <v>0</v>
      </c>
      <c r="C15" s="164"/>
      <c r="D15" s="156">
        <f t="shared" si="1"/>
        <v>0</v>
      </c>
      <c r="E15" s="165"/>
      <c r="F15" s="157">
        <f t="shared" si="2"/>
        <v>0</v>
      </c>
      <c r="G15" s="165"/>
    </row>
    <row r="16" spans="1:7" ht="15" customHeight="1" x14ac:dyDescent="0.2">
      <c r="A16" s="154">
        <f t="shared" si="3"/>
        <v>45455</v>
      </c>
      <c r="B16" s="155">
        <f t="shared" si="0"/>
        <v>0</v>
      </c>
      <c r="C16" s="164"/>
      <c r="D16" s="156">
        <f t="shared" si="1"/>
        <v>0</v>
      </c>
      <c r="E16" s="165"/>
      <c r="F16" s="157">
        <f t="shared" si="2"/>
        <v>0</v>
      </c>
      <c r="G16" s="165"/>
    </row>
    <row r="17" spans="1:7" ht="15" customHeight="1" x14ac:dyDescent="0.2">
      <c r="A17" s="154">
        <f t="shared" si="3"/>
        <v>45456</v>
      </c>
      <c r="B17" s="155">
        <f t="shared" si="0"/>
        <v>0</v>
      </c>
      <c r="C17" s="164"/>
      <c r="D17" s="156">
        <f t="shared" si="1"/>
        <v>0</v>
      </c>
      <c r="E17" s="165"/>
      <c r="F17" s="157">
        <f t="shared" si="2"/>
        <v>0</v>
      </c>
      <c r="G17" s="165"/>
    </row>
    <row r="18" spans="1:7" ht="15" customHeight="1" x14ac:dyDescent="0.2">
      <c r="A18" s="154">
        <f t="shared" si="3"/>
        <v>45457</v>
      </c>
      <c r="B18" s="155">
        <f t="shared" si="0"/>
        <v>0</v>
      </c>
      <c r="C18" s="164"/>
      <c r="D18" s="156">
        <f t="shared" si="1"/>
        <v>0</v>
      </c>
      <c r="E18" s="165"/>
      <c r="F18" s="157">
        <f t="shared" si="2"/>
        <v>0</v>
      </c>
      <c r="G18" s="165"/>
    </row>
    <row r="19" spans="1:7" ht="15" customHeight="1" x14ac:dyDescent="0.2">
      <c r="A19" s="154">
        <f t="shared" si="3"/>
        <v>45458</v>
      </c>
      <c r="B19" s="155">
        <f t="shared" si="0"/>
        <v>0</v>
      </c>
      <c r="C19" s="164"/>
      <c r="D19" s="156">
        <f t="shared" si="1"/>
        <v>0</v>
      </c>
      <c r="E19" s="165"/>
      <c r="F19" s="157">
        <f t="shared" si="2"/>
        <v>0</v>
      </c>
      <c r="G19" s="165"/>
    </row>
    <row r="20" spans="1:7" ht="15" customHeight="1" x14ac:dyDescent="0.2">
      <c r="A20" s="154">
        <f t="shared" si="3"/>
        <v>45459</v>
      </c>
      <c r="B20" s="155">
        <f t="shared" si="0"/>
        <v>0</v>
      </c>
      <c r="C20" s="164"/>
      <c r="D20" s="156">
        <f t="shared" si="1"/>
        <v>0</v>
      </c>
      <c r="E20" s="165"/>
      <c r="F20" s="157">
        <f t="shared" si="2"/>
        <v>0</v>
      </c>
      <c r="G20" s="165"/>
    </row>
    <row r="21" spans="1:7" ht="15" customHeight="1" x14ac:dyDescent="0.2">
      <c r="A21" s="154">
        <f t="shared" si="3"/>
        <v>45460</v>
      </c>
      <c r="B21" s="155">
        <f t="shared" si="0"/>
        <v>0</v>
      </c>
      <c r="C21" s="164"/>
      <c r="D21" s="156">
        <f t="shared" si="1"/>
        <v>0</v>
      </c>
      <c r="E21" s="165"/>
      <c r="F21" s="157">
        <f t="shared" si="2"/>
        <v>0</v>
      </c>
      <c r="G21" s="165"/>
    </row>
    <row r="22" spans="1:7" ht="15" customHeight="1" x14ac:dyDescent="0.2">
      <c r="A22" s="154">
        <f t="shared" si="3"/>
        <v>45461</v>
      </c>
      <c r="B22" s="155">
        <f t="shared" si="0"/>
        <v>0</v>
      </c>
      <c r="C22" s="164"/>
      <c r="D22" s="156">
        <f t="shared" si="1"/>
        <v>0</v>
      </c>
      <c r="E22" s="165"/>
      <c r="F22" s="157">
        <f t="shared" si="2"/>
        <v>0</v>
      </c>
      <c r="G22" s="165"/>
    </row>
    <row r="23" spans="1:7" ht="15" customHeight="1" x14ac:dyDescent="0.2">
      <c r="A23" s="154">
        <f t="shared" si="3"/>
        <v>45462</v>
      </c>
      <c r="B23" s="155">
        <f t="shared" si="0"/>
        <v>0</v>
      </c>
      <c r="C23" s="164"/>
      <c r="D23" s="156">
        <f t="shared" si="1"/>
        <v>0</v>
      </c>
      <c r="E23" s="165"/>
      <c r="F23" s="157">
        <f t="shared" si="2"/>
        <v>0</v>
      </c>
      <c r="G23" s="165"/>
    </row>
    <row r="24" spans="1:7" ht="15" customHeight="1" x14ac:dyDescent="0.2">
      <c r="A24" s="154">
        <f t="shared" si="3"/>
        <v>45463</v>
      </c>
      <c r="B24" s="155">
        <f t="shared" si="0"/>
        <v>0</v>
      </c>
      <c r="C24" s="164"/>
      <c r="D24" s="156">
        <f t="shared" si="1"/>
        <v>0</v>
      </c>
      <c r="E24" s="165"/>
      <c r="F24" s="157">
        <f t="shared" si="2"/>
        <v>0</v>
      </c>
      <c r="G24" s="165"/>
    </row>
    <row r="25" spans="1:7" ht="15" customHeight="1" x14ac:dyDescent="0.2">
      <c r="A25" s="154">
        <f t="shared" si="3"/>
        <v>45464</v>
      </c>
      <c r="B25" s="155">
        <f t="shared" si="0"/>
        <v>0</v>
      </c>
      <c r="C25" s="164"/>
      <c r="D25" s="156">
        <f t="shared" si="1"/>
        <v>0</v>
      </c>
      <c r="E25" s="165"/>
      <c r="F25" s="157">
        <f t="shared" si="2"/>
        <v>0</v>
      </c>
      <c r="G25" s="165"/>
    </row>
    <row r="26" spans="1:7" ht="15" customHeight="1" x14ac:dyDescent="0.2">
      <c r="A26" s="154">
        <f t="shared" si="3"/>
        <v>45465</v>
      </c>
      <c r="B26" s="155">
        <f t="shared" si="0"/>
        <v>0</v>
      </c>
      <c r="C26" s="164"/>
      <c r="D26" s="156">
        <f t="shared" si="1"/>
        <v>0</v>
      </c>
      <c r="E26" s="165"/>
      <c r="F26" s="157">
        <f t="shared" si="2"/>
        <v>0</v>
      </c>
      <c r="G26" s="165"/>
    </row>
    <row r="27" spans="1:7" ht="15" customHeight="1" x14ac:dyDescent="0.2">
      <c r="A27" s="154">
        <f t="shared" si="3"/>
        <v>45466</v>
      </c>
      <c r="B27" s="155">
        <f t="shared" si="0"/>
        <v>0</v>
      </c>
      <c r="C27" s="164"/>
      <c r="D27" s="156">
        <f t="shared" si="1"/>
        <v>0</v>
      </c>
      <c r="E27" s="165"/>
      <c r="F27" s="157">
        <f t="shared" si="2"/>
        <v>0</v>
      </c>
      <c r="G27" s="165"/>
    </row>
    <row r="28" spans="1:7" ht="15" customHeight="1" x14ac:dyDescent="0.2">
      <c r="A28" s="154">
        <f t="shared" si="3"/>
        <v>45467</v>
      </c>
      <c r="B28" s="155">
        <f t="shared" si="0"/>
        <v>0</v>
      </c>
      <c r="C28" s="164"/>
      <c r="D28" s="156">
        <f t="shared" si="1"/>
        <v>0</v>
      </c>
      <c r="E28" s="165"/>
      <c r="F28" s="157">
        <f t="shared" si="2"/>
        <v>0</v>
      </c>
      <c r="G28" s="165"/>
    </row>
    <row r="29" spans="1:7" ht="15" customHeight="1" x14ac:dyDescent="0.2">
      <c r="A29" s="154">
        <f t="shared" si="3"/>
        <v>45468</v>
      </c>
      <c r="B29" s="155">
        <f t="shared" si="0"/>
        <v>0</v>
      </c>
      <c r="C29" s="164"/>
      <c r="D29" s="156">
        <f t="shared" si="1"/>
        <v>0</v>
      </c>
      <c r="E29" s="165"/>
      <c r="F29" s="157">
        <f t="shared" si="2"/>
        <v>0</v>
      </c>
      <c r="G29" s="165"/>
    </row>
    <row r="30" spans="1:7" ht="15" customHeight="1" x14ac:dyDescent="0.2">
      <c r="A30" s="154">
        <f t="shared" si="3"/>
        <v>45469</v>
      </c>
      <c r="B30" s="155">
        <f t="shared" si="0"/>
        <v>0</v>
      </c>
      <c r="C30" s="164"/>
      <c r="D30" s="156">
        <f t="shared" si="1"/>
        <v>0</v>
      </c>
      <c r="E30" s="165"/>
      <c r="F30" s="157">
        <f t="shared" si="2"/>
        <v>0</v>
      </c>
      <c r="G30" s="165"/>
    </row>
    <row r="31" spans="1:7" ht="15" customHeight="1" x14ac:dyDescent="0.2">
      <c r="A31" s="154">
        <f t="shared" si="3"/>
        <v>45470</v>
      </c>
      <c r="B31" s="155">
        <f t="shared" si="0"/>
        <v>0</v>
      </c>
      <c r="C31" s="164"/>
      <c r="D31" s="156">
        <f t="shared" si="1"/>
        <v>0</v>
      </c>
      <c r="E31" s="165"/>
      <c r="F31" s="157">
        <f t="shared" si="2"/>
        <v>0</v>
      </c>
      <c r="G31" s="165"/>
    </row>
    <row r="32" spans="1:7" ht="15" customHeight="1" x14ac:dyDescent="0.2">
      <c r="A32" s="154">
        <f t="shared" si="3"/>
        <v>45471</v>
      </c>
      <c r="B32" s="155">
        <f t="shared" si="0"/>
        <v>0</v>
      </c>
      <c r="C32" s="164"/>
      <c r="D32" s="156">
        <f t="shared" si="1"/>
        <v>0</v>
      </c>
      <c r="E32" s="165"/>
      <c r="F32" s="157">
        <f t="shared" si="2"/>
        <v>0</v>
      </c>
      <c r="G32" s="165"/>
    </row>
    <row r="33" spans="1:7" ht="15" customHeight="1" x14ac:dyDescent="0.2">
      <c r="A33" s="154">
        <f t="shared" si="3"/>
        <v>45472</v>
      </c>
      <c r="B33" s="155">
        <f t="shared" si="0"/>
        <v>0</v>
      </c>
      <c r="C33" s="164"/>
      <c r="D33" s="156">
        <f t="shared" si="1"/>
        <v>0</v>
      </c>
      <c r="E33" s="165"/>
      <c r="F33" s="157">
        <f t="shared" si="2"/>
        <v>0</v>
      </c>
      <c r="G33" s="165"/>
    </row>
    <row r="34" spans="1:7" ht="15" customHeight="1" x14ac:dyDescent="0.2">
      <c r="A34" s="154">
        <f t="shared" si="3"/>
        <v>45473</v>
      </c>
      <c r="B34" s="155">
        <f t="shared" si="0"/>
        <v>0</v>
      </c>
      <c r="C34" s="164"/>
      <c r="D34" s="156">
        <f t="shared" si="1"/>
        <v>0</v>
      </c>
      <c r="E34" s="165"/>
      <c r="F34" s="157">
        <f t="shared" si="2"/>
        <v>0</v>
      </c>
      <c r="G34" s="165"/>
    </row>
    <row r="35" spans="1:7" ht="15" customHeight="1" x14ac:dyDescent="0.2">
      <c r="A35" s="154">
        <f t="shared" si="3"/>
        <v>45474</v>
      </c>
      <c r="B35" s="155">
        <f t="shared" si="0"/>
        <v>0</v>
      </c>
      <c r="C35" s="164"/>
      <c r="D35" s="156">
        <f t="shared" si="1"/>
        <v>0</v>
      </c>
      <c r="E35" s="165"/>
      <c r="F35" s="157">
        <f t="shared" si="2"/>
        <v>0</v>
      </c>
      <c r="G35" s="165"/>
    </row>
    <row r="36" spans="1:7" ht="15" customHeight="1" x14ac:dyDescent="0.2">
      <c r="A36" s="161" t="s">
        <v>222</v>
      </c>
      <c r="B36" s="159" t="e">
        <f>D36+F36</f>
        <v>#DIV/0!</v>
      </c>
      <c r="C36" s="163" t="e">
        <f>AVERAGE(C5:C35)</f>
        <v>#DIV/0!</v>
      </c>
      <c r="D36" s="159" t="e">
        <f>C36*67%</f>
        <v>#DIV/0!</v>
      </c>
      <c r="E36" s="163" t="e">
        <f>AVERAGE(E5:E35)</f>
        <v>#DIV/0!</v>
      </c>
      <c r="F36" s="159" t="e">
        <f>E36*33%</f>
        <v>#DIV/0!</v>
      </c>
      <c r="G36" s="160"/>
    </row>
  </sheetData>
  <sheetProtection sheet="1" objects="1" scenarios="1"/>
  <mergeCells count="4">
    <mergeCell ref="A2:G2"/>
    <mergeCell ref="B3:C3"/>
    <mergeCell ref="C4:D4"/>
    <mergeCell ref="E4:F4"/>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B53403-B485-4705-A7A0-B075680B156B}">
  <dimension ref="A1:Z66"/>
  <sheetViews>
    <sheetView workbookViewId="0">
      <pane xSplit="2" ySplit="3" topLeftCell="C20" activePane="bottomRight" state="frozen"/>
      <selection pane="topRight" activeCell="C1" sqref="C1"/>
      <selection pane="bottomLeft" activeCell="A3" sqref="A3"/>
      <selection pane="bottomRight" activeCell="E25" sqref="E25"/>
    </sheetView>
  </sheetViews>
  <sheetFormatPr defaultRowHeight="15" x14ac:dyDescent="0.25"/>
  <cols>
    <col min="2" max="2" width="10.5703125" bestFit="1" customWidth="1"/>
    <col min="3" max="24" width="15.5703125" customWidth="1"/>
    <col min="25" max="26" width="15.5703125" style="1" customWidth="1"/>
  </cols>
  <sheetData>
    <row r="1" spans="1:26" ht="15.75" thickBot="1" x14ac:dyDescent="0.3">
      <c r="A1" s="21" t="e">
        <f>'Sales Management Sheet'!#REF!</f>
        <v>#REF!</v>
      </c>
    </row>
    <row r="2" spans="1:26" ht="58.5" customHeight="1" x14ac:dyDescent="0.25">
      <c r="A2" s="289" t="s">
        <v>20</v>
      </c>
      <c r="B2" s="291" t="s">
        <v>21</v>
      </c>
      <c r="C2" s="11" t="s">
        <v>22</v>
      </c>
      <c r="D2" s="9"/>
      <c r="E2" s="9" t="s">
        <v>23</v>
      </c>
      <c r="F2" s="8"/>
      <c r="G2" s="9" t="s">
        <v>29</v>
      </c>
      <c r="H2" s="10"/>
      <c r="I2" s="9" t="s">
        <v>30</v>
      </c>
      <c r="J2" s="11"/>
      <c r="K2" s="9" t="s">
        <v>31</v>
      </c>
      <c r="L2" s="9"/>
      <c r="M2" s="9" t="s">
        <v>35</v>
      </c>
      <c r="N2" s="9"/>
      <c r="O2" s="9" t="s">
        <v>34</v>
      </c>
      <c r="P2" s="9"/>
      <c r="Q2" s="9" t="s">
        <v>24</v>
      </c>
      <c r="R2" s="9"/>
      <c r="S2" s="9" t="s">
        <v>33</v>
      </c>
      <c r="T2" s="9"/>
      <c r="U2" s="9" t="s">
        <v>25</v>
      </c>
      <c r="V2" s="9"/>
      <c r="W2" s="9" t="s">
        <v>32</v>
      </c>
      <c r="X2" s="9"/>
      <c r="Y2" s="293" t="s">
        <v>27</v>
      </c>
      <c r="Z2" s="291" t="s">
        <v>26</v>
      </c>
    </row>
    <row r="3" spans="1:26" ht="15.75" thickBot="1" x14ac:dyDescent="0.3">
      <c r="A3" s="290"/>
      <c r="B3" s="292"/>
      <c r="C3" s="18" t="s">
        <v>1</v>
      </c>
      <c r="D3" s="19" t="s">
        <v>0</v>
      </c>
      <c r="E3" s="19" t="s">
        <v>1</v>
      </c>
      <c r="F3" s="19" t="s">
        <v>0</v>
      </c>
      <c r="G3" s="20" t="s">
        <v>1</v>
      </c>
      <c r="H3" s="20" t="s">
        <v>0</v>
      </c>
      <c r="I3" s="20" t="s">
        <v>1</v>
      </c>
      <c r="J3" s="20" t="s">
        <v>0</v>
      </c>
      <c r="K3" s="20" t="s">
        <v>1</v>
      </c>
      <c r="L3" s="20" t="s">
        <v>0</v>
      </c>
      <c r="M3" s="19" t="s">
        <v>1</v>
      </c>
      <c r="N3" s="19" t="s">
        <v>0</v>
      </c>
      <c r="O3" s="20" t="s">
        <v>1</v>
      </c>
      <c r="P3" s="20" t="s">
        <v>0</v>
      </c>
      <c r="Q3" s="20" t="s">
        <v>1</v>
      </c>
      <c r="R3" s="20" t="s">
        <v>0</v>
      </c>
      <c r="S3" s="20" t="s">
        <v>1</v>
      </c>
      <c r="T3" s="20" t="s">
        <v>0</v>
      </c>
      <c r="U3" s="19" t="s">
        <v>1</v>
      </c>
      <c r="V3" s="19" t="s">
        <v>0</v>
      </c>
      <c r="W3" s="19" t="s">
        <v>1</v>
      </c>
      <c r="X3" s="19" t="s">
        <v>0</v>
      </c>
      <c r="Y3" s="294"/>
      <c r="Z3" s="292"/>
    </row>
    <row r="4" spans="1:26" x14ac:dyDescent="0.25">
      <c r="A4" s="15">
        <f>'Sales Management Sheet'!A4</f>
        <v>46113</v>
      </c>
      <c r="B4" s="22">
        <f>'Sales Management Sheet'!B4</f>
        <v>46113</v>
      </c>
      <c r="C4" s="12"/>
      <c r="D4" s="6"/>
      <c r="E4" s="6"/>
      <c r="F4" s="6"/>
      <c r="G4" s="6"/>
      <c r="H4" s="6"/>
      <c r="I4" s="6"/>
      <c r="J4" s="6"/>
      <c r="K4" s="6"/>
      <c r="L4" s="6"/>
      <c r="M4" s="6"/>
      <c r="N4" s="6"/>
      <c r="O4" s="6"/>
      <c r="P4" s="6"/>
      <c r="Q4" s="6"/>
      <c r="R4" s="6"/>
      <c r="S4" s="6"/>
      <c r="T4" s="6"/>
      <c r="U4" s="6"/>
      <c r="V4" s="6"/>
      <c r="W4" s="6"/>
      <c r="X4" s="6"/>
      <c r="Y4" s="7">
        <f>SUM(C4,E4,G4,I4,K4,M4,O4,Q4,U4,W4)</f>
        <v>0</v>
      </c>
      <c r="Z4" s="7">
        <f>SUM(D4,F4,H4,J4,L4,N4,P4,R4,T4,X4)</f>
        <v>0</v>
      </c>
    </row>
    <row r="5" spans="1:26" x14ac:dyDescent="0.25">
      <c r="A5" s="16">
        <f>'Sales Management Sheet'!A5</f>
        <v>46114</v>
      </c>
      <c r="B5" s="23">
        <f>'Sales Management Sheet'!B5</f>
        <v>46114</v>
      </c>
      <c r="C5" s="13"/>
      <c r="D5" s="3"/>
      <c r="E5" s="3"/>
      <c r="F5" s="3"/>
      <c r="G5" s="3"/>
      <c r="H5" s="3"/>
      <c r="I5" s="3"/>
      <c r="J5" s="3"/>
      <c r="K5" s="3"/>
      <c r="L5" s="3"/>
      <c r="M5" s="3"/>
      <c r="N5" s="3"/>
      <c r="O5" s="3"/>
      <c r="P5" s="3"/>
      <c r="Q5" s="3"/>
      <c r="R5" s="3"/>
      <c r="S5" s="3"/>
      <c r="T5" s="3"/>
      <c r="U5" s="3"/>
      <c r="V5" s="3"/>
      <c r="W5" s="3"/>
      <c r="X5" s="3"/>
      <c r="Y5" s="4">
        <f t="shared" ref="Y5:Y35" si="0">SUM(C5,E5,G5,I5,K5,M5,O5,Q5,U5,W5)</f>
        <v>0</v>
      </c>
      <c r="Z5" s="4">
        <f t="shared" ref="Z5:Z35" si="1">SUM(C5:W5)</f>
        <v>0</v>
      </c>
    </row>
    <row r="6" spans="1:26" x14ac:dyDescent="0.25">
      <c r="A6" s="16">
        <f>'Sales Management Sheet'!A6</f>
        <v>46115</v>
      </c>
      <c r="B6" s="23">
        <f>'Sales Management Sheet'!B6</f>
        <v>46115</v>
      </c>
      <c r="C6" s="13"/>
      <c r="D6" s="3"/>
      <c r="E6" s="3"/>
      <c r="F6" s="3"/>
      <c r="G6" s="3"/>
      <c r="H6" s="3"/>
      <c r="I6" s="3"/>
      <c r="J6" s="3"/>
      <c r="K6" s="3"/>
      <c r="L6" s="3"/>
      <c r="M6" s="3"/>
      <c r="N6" s="3"/>
      <c r="O6" s="3"/>
      <c r="P6" s="3"/>
      <c r="Q6" s="3"/>
      <c r="R6" s="3"/>
      <c r="S6" s="3"/>
      <c r="T6" s="3"/>
      <c r="U6" s="3"/>
      <c r="V6" s="3"/>
      <c r="W6" s="3"/>
      <c r="X6" s="3"/>
      <c r="Y6" s="4">
        <f t="shared" si="0"/>
        <v>0</v>
      </c>
      <c r="Z6" s="4">
        <f t="shared" si="1"/>
        <v>0</v>
      </c>
    </row>
    <row r="7" spans="1:26" x14ac:dyDescent="0.25">
      <c r="A7" s="16">
        <f>'Sales Management Sheet'!A7</f>
        <v>46116</v>
      </c>
      <c r="B7" s="23">
        <f>'Sales Management Sheet'!B7</f>
        <v>46116</v>
      </c>
      <c r="C7" s="13"/>
      <c r="D7" s="3"/>
      <c r="E7" s="3"/>
      <c r="F7" s="3"/>
      <c r="G7" s="3"/>
      <c r="H7" s="3"/>
      <c r="I7" s="3"/>
      <c r="J7" s="3"/>
      <c r="K7" s="3"/>
      <c r="L7" s="3"/>
      <c r="M7" s="3"/>
      <c r="N7" s="3"/>
      <c r="O7" s="3"/>
      <c r="P7" s="3"/>
      <c r="Q7" s="3"/>
      <c r="R7" s="3"/>
      <c r="S7" s="3"/>
      <c r="T7" s="3"/>
      <c r="U7" s="3"/>
      <c r="V7" s="3"/>
      <c r="W7" s="3"/>
      <c r="X7" s="3"/>
      <c r="Y7" s="4">
        <f t="shared" si="0"/>
        <v>0</v>
      </c>
      <c r="Z7" s="4">
        <f t="shared" si="1"/>
        <v>0</v>
      </c>
    </row>
    <row r="8" spans="1:26" x14ac:dyDescent="0.25">
      <c r="A8" s="16">
        <f>'Sales Management Sheet'!A8</f>
        <v>46117</v>
      </c>
      <c r="B8" s="23">
        <f>'Sales Management Sheet'!B8</f>
        <v>46117</v>
      </c>
      <c r="C8" s="13"/>
      <c r="D8" s="3"/>
      <c r="E8" s="3"/>
      <c r="F8" s="3"/>
      <c r="G8" s="3"/>
      <c r="H8" s="3"/>
      <c r="I8" s="3"/>
      <c r="J8" s="3"/>
      <c r="K8" s="3"/>
      <c r="L8" s="3"/>
      <c r="M8" s="3"/>
      <c r="N8" s="3"/>
      <c r="O8" s="3"/>
      <c r="P8" s="3"/>
      <c r="Q8" s="3"/>
      <c r="R8" s="3"/>
      <c r="S8" s="3"/>
      <c r="T8" s="3"/>
      <c r="U8" s="3"/>
      <c r="V8" s="3"/>
      <c r="W8" s="3"/>
      <c r="X8" s="3"/>
      <c r="Y8" s="4">
        <f t="shared" si="0"/>
        <v>0</v>
      </c>
      <c r="Z8" s="4">
        <f t="shared" si="1"/>
        <v>0</v>
      </c>
    </row>
    <row r="9" spans="1:26" x14ac:dyDescent="0.25">
      <c r="A9" s="16">
        <f>'Sales Management Sheet'!A9</f>
        <v>46118</v>
      </c>
      <c r="B9" s="23">
        <f>'Sales Management Sheet'!B9</f>
        <v>46118</v>
      </c>
      <c r="C9" s="13"/>
      <c r="D9" s="3"/>
      <c r="E9" s="3"/>
      <c r="F9" s="3"/>
      <c r="G9" s="3"/>
      <c r="H9" s="3"/>
      <c r="I9" s="3"/>
      <c r="J9" s="3"/>
      <c r="K9" s="3"/>
      <c r="L9" s="3"/>
      <c r="M9" s="3"/>
      <c r="N9" s="3"/>
      <c r="O9" s="3"/>
      <c r="P9" s="3"/>
      <c r="Q9" s="3"/>
      <c r="R9" s="3"/>
      <c r="S9" s="3"/>
      <c r="T9" s="3"/>
      <c r="U9" s="3"/>
      <c r="V9" s="3"/>
      <c r="W9" s="3"/>
      <c r="X9" s="3"/>
      <c r="Y9" s="4">
        <f t="shared" si="0"/>
        <v>0</v>
      </c>
      <c r="Z9" s="4">
        <f t="shared" si="1"/>
        <v>0</v>
      </c>
    </row>
    <row r="10" spans="1:26" x14ac:dyDescent="0.25">
      <c r="A10" s="16">
        <f>'Sales Management Sheet'!A10</f>
        <v>46119</v>
      </c>
      <c r="B10" s="23">
        <f>'Sales Management Sheet'!B10</f>
        <v>46119</v>
      </c>
      <c r="C10" s="13"/>
      <c r="D10" s="3"/>
      <c r="E10" s="3"/>
      <c r="F10" s="3"/>
      <c r="G10" s="3"/>
      <c r="H10" s="3"/>
      <c r="I10" s="3"/>
      <c r="J10" s="3"/>
      <c r="K10" s="3"/>
      <c r="L10" s="3"/>
      <c r="M10" s="3"/>
      <c r="N10" s="3"/>
      <c r="O10" s="3"/>
      <c r="P10" s="3"/>
      <c r="Q10" s="3"/>
      <c r="R10" s="3"/>
      <c r="S10" s="3"/>
      <c r="T10" s="3"/>
      <c r="U10" s="3"/>
      <c r="V10" s="3"/>
      <c r="W10" s="3"/>
      <c r="X10" s="3"/>
      <c r="Y10" s="4">
        <f t="shared" si="0"/>
        <v>0</v>
      </c>
      <c r="Z10" s="4">
        <f t="shared" si="1"/>
        <v>0</v>
      </c>
    </row>
    <row r="11" spans="1:26" x14ac:dyDescent="0.25">
      <c r="A11" s="16">
        <f>'Sales Management Sheet'!A11</f>
        <v>46120</v>
      </c>
      <c r="B11" s="23">
        <f>'Sales Management Sheet'!B11</f>
        <v>46120</v>
      </c>
      <c r="C11" s="13"/>
      <c r="D11" s="3"/>
      <c r="E11" s="3"/>
      <c r="F11" s="3"/>
      <c r="G11" s="3"/>
      <c r="H11" s="3"/>
      <c r="I11" s="3"/>
      <c r="J11" s="3"/>
      <c r="K11" s="3"/>
      <c r="L11" s="3"/>
      <c r="M11" s="3"/>
      <c r="N11" s="3"/>
      <c r="O11" s="3"/>
      <c r="P11" s="3"/>
      <c r="Q11" s="3"/>
      <c r="R11" s="3"/>
      <c r="S11" s="3"/>
      <c r="T11" s="3"/>
      <c r="U11" s="3"/>
      <c r="V11" s="3"/>
      <c r="W11" s="3"/>
      <c r="X11" s="3"/>
      <c r="Y11" s="4">
        <f t="shared" si="0"/>
        <v>0</v>
      </c>
      <c r="Z11" s="4">
        <f t="shared" si="1"/>
        <v>0</v>
      </c>
    </row>
    <row r="12" spans="1:26" x14ac:dyDescent="0.25">
      <c r="A12" s="16">
        <f>'Sales Management Sheet'!A12</f>
        <v>46121</v>
      </c>
      <c r="B12" s="23">
        <f>'Sales Management Sheet'!B12</f>
        <v>46121</v>
      </c>
      <c r="C12" s="13"/>
      <c r="D12" s="3"/>
      <c r="E12" s="3"/>
      <c r="F12" s="3"/>
      <c r="G12" s="3"/>
      <c r="H12" s="3"/>
      <c r="I12" s="3"/>
      <c r="J12" s="3"/>
      <c r="K12" s="3"/>
      <c r="L12" s="3"/>
      <c r="M12" s="3"/>
      <c r="N12" s="3"/>
      <c r="O12" s="3"/>
      <c r="P12" s="3"/>
      <c r="Q12" s="3"/>
      <c r="R12" s="3"/>
      <c r="S12" s="3"/>
      <c r="T12" s="3"/>
      <c r="U12" s="3"/>
      <c r="V12" s="3"/>
      <c r="W12" s="3"/>
      <c r="X12" s="3"/>
      <c r="Y12" s="4">
        <f t="shared" si="0"/>
        <v>0</v>
      </c>
      <c r="Z12" s="4">
        <f t="shared" si="1"/>
        <v>0</v>
      </c>
    </row>
    <row r="13" spans="1:26" x14ac:dyDescent="0.25">
      <c r="A13" s="16">
        <f>'Sales Management Sheet'!A13</f>
        <v>46122</v>
      </c>
      <c r="B13" s="23">
        <f>'Sales Management Sheet'!B13</f>
        <v>46122</v>
      </c>
      <c r="C13" s="13"/>
      <c r="D13" s="3"/>
      <c r="E13" s="3"/>
      <c r="F13" s="3"/>
      <c r="G13" s="3"/>
      <c r="H13" s="3"/>
      <c r="I13" s="3"/>
      <c r="J13" s="3"/>
      <c r="K13" s="3"/>
      <c r="L13" s="3"/>
      <c r="M13" s="3"/>
      <c r="N13" s="3"/>
      <c r="O13" s="3"/>
      <c r="P13" s="3"/>
      <c r="Q13" s="3"/>
      <c r="R13" s="3"/>
      <c r="S13" s="3"/>
      <c r="T13" s="3"/>
      <c r="U13" s="3"/>
      <c r="V13" s="3"/>
      <c r="W13" s="3"/>
      <c r="X13" s="3"/>
      <c r="Y13" s="4">
        <f t="shared" si="0"/>
        <v>0</v>
      </c>
      <c r="Z13" s="4">
        <f t="shared" si="1"/>
        <v>0</v>
      </c>
    </row>
    <row r="14" spans="1:26" x14ac:dyDescent="0.25">
      <c r="A14" s="16">
        <f>'Sales Management Sheet'!A14</f>
        <v>46123</v>
      </c>
      <c r="B14" s="23">
        <f>'Sales Management Sheet'!B14</f>
        <v>46123</v>
      </c>
      <c r="C14" s="13"/>
      <c r="D14" s="3"/>
      <c r="E14" s="3"/>
      <c r="F14" s="3"/>
      <c r="G14" s="3"/>
      <c r="H14" s="3"/>
      <c r="I14" s="3"/>
      <c r="J14" s="3"/>
      <c r="K14" s="3"/>
      <c r="L14" s="3"/>
      <c r="M14" s="3"/>
      <c r="N14" s="3"/>
      <c r="O14" s="3"/>
      <c r="P14" s="3"/>
      <c r="Q14" s="3"/>
      <c r="R14" s="3"/>
      <c r="S14" s="3"/>
      <c r="T14" s="3"/>
      <c r="U14" s="3"/>
      <c r="V14" s="3"/>
      <c r="W14" s="3"/>
      <c r="X14" s="3"/>
      <c r="Y14" s="4">
        <f t="shared" si="0"/>
        <v>0</v>
      </c>
      <c r="Z14" s="4">
        <f t="shared" si="1"/>
        <v>0</v>
      </c>
    </row>
    <row r="15" spans="1:26" x14ac:dyDescent="0.25">
      <c r="A15" s="16">
        <f>'Sales Management Sheet'!A15</f>
        <v>46124</v>
      </c>
      <c r="B15" s="23">
        <f>'Sales Management Sheet'!B15</f>
        <v>46124</v>
      </c>
      <c r="C15" s="13"/>
      <c r="D15" s="3"/>
      <c r="E15" s="3"/>
      <c r="F15" s="3"/>
      <c r="G15" s="3"/>
      <c r="H15" s="3"/>
      <c r="I15" s="3"/>
      <c r="J15" s="3"/>
      <c r="K15" s="3"/>
      <c r="L15" s="3"/>
      <c r="M15" s="3"/>
      <c r="N15" s="3"/>
      <c r="O15" s="3"/>
      <c r="P15" s="3"/>
      <c r="Q15" s="3"/>
      <c r="R15" s="3"/>
      <c r="S15" s="3"/>
      <c r="T15" s="3"/>
      <c r="U15" s="3"/>
      <c r="V15" s="3"/>
      <c r="W15" s="3"/>
      <c r="X15" s="3"/>
      <c r="Y15" s="4">
        <f t="shared" si="0"/>
        <v>0</v>
      </c>
      <c r="Z15" s="4">
        <f t="shared" si="1"/>
        <v>0</v>
      </c>
    </row>
    <row r="16" spans="1:26" x14ac:dyDescent="0.25">
      <c r="A16" s="16">
        <f>'Sales Management Sheet'!A16</f>
        <v>46125</v>
      </c>
      <c r="B16" s="23">
        <f>'Sales Management Sheet'!B16</f>
        <v>46125</v>
      </c>
      <c r="C16" s="13"/>
      <c r="D16" s="3"/>
      <c r="E16" s="3"/>
      <c r="F16" s="3"/>
      <c r="G16" s="3"/>
      <c r="H16" s="3"/>
      <c r="I16" s="3"/>
      <c r="J16" s="3"/>
      <c r="K16" s="3"/>
      <c r="L16" s="3"/>
      <c r="M16" s="3"/>
      <c r="N16" s="3"/>
      <c r="O16" s="3"/>
      <c r="P16" s="3"/>
      <c r="Q16" s="3"/>
      <c r="R16" s="3"/>
      <c r="S16" s="3"/>
      <c r="T16" s="3"/>
      <c r="U16" s="3"/>
      <c r="V16" s="3"/>
      <c r="W16" s="3"/>
      <c r="X16" s="3"/>
      <c r="Y16" s="4">
        <f t="shared" si="0"/>
        <v>0</v>
      </c>
      <c r="Z16" s="4">
        <f t="shared" si="1"/>
        <v>0</v>
      </c>
    </row>
    <row r="17" spans="1:26" x14ac:dyDescent="0.25">
      <c r="A17" s="16">
        <f>'Sales Management Sheet'!A17</f>
        <v>46126</v>
      </c>
      <c r="B17" s="23">
        <f>'Sales Management Sheet'!B17</f>
        <v>46126</v>
      </c>
      <c r="C17" s="13"/>
      <c r="D17" s="3"/>
      <c r="E17" s="3"/>
      <c r="F17" s="3"/>
      <c r="G17" s="3"/>
      <c r="H17" s="3"/>
      <c r="I17" s="3"/>
      <c r="J17" s="3"/>
      <c r="K17" s="3"/>
      <c r="L17" s="3"/>
      <c r="M17" s="3"/>
      <c r="N17" s="3"/>
      <c r="O17" s="3"/>
      <c r="P17" s="3"/>
      <c r="Q17" s="3"/>
      <c r="R17" s="3"/>
      <c r="S17" s="3"/>
      <c r="T17" s="3"/>
      <c r="U17" s="3"/>
      <c r="V17" s="3"/>
      <c r="W17" s="3"/>
      <c r="X17" s="3"/>
      <c r="Y17" s="4">
        <f t="shared" si="0"/>
        <v>0</v>
      </c>
      <c r="Z17" s="4">
        <f t="shared" si="1"/>
        <v>0</v>
      </c>
    </row>
    <row r="18" spans="1:26" x14ac:dyDescent="0.25">
      <c r="A18" s="16">
        <f>'Sales Management Sheet'!A18</f>
        <v>46127</v>
      </c>
      <c r="B18" s="23">
        <f>'Sales Management Sheet'!B18</f>
        <v>46127</v>
      </c>
      <c r="C18" s="13"/>
      <c r="D18" s="3"/>
      <c r="E18" s="3"/>
      <c r="F18" s="3"/>
      <c r="G18" s="3"/>
      <c r="H18" s="3"/>
      <c r="I18" s="3"/>
      <c r="J18" s="3"/>
      <c r="K18" s="3"/>
      <c r="L18" s="3"/>
      <c r="M18" s="3"/>
      <c r="N18" s="3"/>
      <c r="O18" s="3"/>
      <c r="P18" s="3"/>
      <c r="Q18" s="3"/>
      <c r="R18" s="3"/>
      <c r="S18" s="3"/>
      <c r="T18" s="3"/>
      <c r="U18" s="3"/>
      <c r="V18" s="3"/>
      <c r="W18" s="3"/>
      <c r="X18" s="3"/>
      <c r="Y18" s="4">
        <f t="shared" si="0"/>
        <v>0</v>
      </c>
      <c r="Z18" s="4">
        <f t="shared" si="1"/>
        <v>0</v>
      </c>
    </row>
    <row r="19" spans="1:26" x14ac:dyDescent="0.25">
      <c r="A19" s="16">
        <f>'Sales Management Sheet'!A19</f>
        <v>46128</v>
      </c>
      <c r="B19" s="23">
        <f>'Sales Management Sheet'!B19</f>
        <v>46128</v>
      </c>
      <c r="C19" s="13"/>
      <c r="D19" s="3"/>
      <c r="E19" s="3"/>
      <c r="F19" s="3"/>
      <c r="G19" s="3"/>
      <c r="H19" s="3"/>
      <c r="I19" s="3"/>
      <c r="J19" s="3"/>
      <c r="K19" s="3"/>
      <c r="L19" s="3"/>
      <c r="M19" s="3"/>
      <c r="N19" s="3"/>
      <c r="O19" s="3"/>
      <c r="P19" s="3"/>
      <c r="Q19" s="3"/>
      <c r="R19" s="3"/>
      <c r="S19" s="3"/>
      <c r="T19" s="3"/>
      <c r="U19" s="3"/>
      <c r="V19" s="3"/>
      <c r="W19" s="3"/>
      <c r="X19" s="3"/>
      <c r="Y19" s="4">
        <f t="shared" si="0"/>
        <v>0</v>
      </c>
      <c r="Z19" s="4">
        <f t="shared" si="1"/>
        <v>0</v>
      </c>
    </row>
    <row r="20" spans="1:26" x14ac:dyDescent="0.25">
      <c r="A20" s="16">
        <f>'Sales Management Sheet'!A20</f>
        <v>46129</v>
      </c>
      <c r="B20" s="23">
        <f>'Sales Management Sheet'!B20</f>
        <v>46129</v>
      </c>
      <c r="C20" s="13"/>
      <c r="D20" s="3"/>
      <c r="E20" s="3"/>
      <c r="F20" s="3"/>
      <c r="G20" s="3"/>
      <c r="H20" s="3"/>
      <c r="I20" s="3"/>
      <c r="J20" s="3"/>
      <c r="K20" s="3"/>
      <c r="L20" s="3"/>
      <c r="M20" s="3"/>
      <c r="N20" s="3"/>
      <c r="O20" s="3"/>
      <c r="P20" s="3"/>
      <c r="Q20" s="3"/>
      <c r="R20" s="3"/>
      <c r="S20" s="3"/>
      <c r="T20" s="3"/>
      <c r="U20" s="3"/>
      <c r="V20" s="3"/>
      <c r="W20" s="3"/>
      <c r="X20" s="3"/>
      <c r="Y20" s="4">
        <f t="shared" si="0"/>
        <v>0</v>
      </c>
      <c r="Z20" s="4">
        <f t="shared" si="1"/>
        <v>0</v>
      </c>
    </row>
    <row r="21" spans="1:26" x14ac:dyDescent="0.25">
      <c r="A21" s="16">
        <f>'Sales Management Sheet'!A21</f>
        <v>46130</v>
      </c>
      <c r="B21" s="23">
        <f>'Sales Management Sheet'!B21</f>
        <v>46130</v>
      </c>
      <c r="C21" s="13"/>
      <c r="D21" s="3"/>
      <c r="E21" s="3"/>
      <c r="F21" s="3"/>
      <c r="G21" s="3"/>
      <c r="H21" s="3"/>
      <c r="I21" s="3"/>
      <c r="J21" s="3"/>
      <c r="K21" s="3"/>
      <c r="L21" s="3"/>
      <c r="M21" s="3"/>
      <c r="N21" s="3"/>
      <c r="O21" s="3"/>
      <c r="P21" s="3"/>
      <c r="Q21" s="3"/>
      <c r="R21" s="3"/>
      <c r="S21" s="3"/>
      <c r="T21" s="3"/>
      <c r="U21" s="3"/>
      <c r="V21" s="3"/>
      <c r="W21" s="3"/>
      <c r="X21" s="3"/>
      <c r="Y21" s="4">
        <f t="shared" si="0"/>
        <v>0</v>
      </c>
      <c r="Z21" s="4">
        <f t="shared" si="1"/>
        <v>0</v>
      </c>
    </row>
    <row r="22" spans="1:26" x14ac:dyDescent="0.25">
      <c r="A22" s="16">
        <f>'Sales Management Sheet'!A22</f>
        <v>46131</v>
      </c>
      <c r="B22" s="23">
        <f>'Sales Management Sheet'!B22</f>
        <v>46131</v>
      </c>
      <c r="C22" s="13"/>
      <c r="D22" s="3"/>
      <c r="E22" s="3"/>
      <c r="F22" s="3"/>
      <c r="G22" s="3"/>
      <c r="H22" s="3"/>
      <c r="I22" s="3"/>
      <c r="J22" s="3"/>
      <c r="K22" s="3"/>
      <c r="L22" s="3"/>
      <c r="M22" s="3"/>
      <c r="N22" s="3"/>
      <c r="O22" s="3"/>
      <c r="P22" s="3"/>
      <c r="Q22" s="3"/>
      <c r="R22" s="3"/>
      <c r="S22" s="3"/>
      <c r="T22" s="3"/>
      <c r="U22" s="3"/>
      <c r="V22" s="3"/>
      <c r="W22" s="3"/>
      <c r="X22" s="3"/>
      <c r="Y22" s="4">
        <f t="shared" si="0"/>
        <v>0</v>
      </c>
      <c r="Z22" s="4">
        <f t="shared" si="1"/>
        <v>0</v>
      </c>
    </row>
    <row r="23" spans="1:26" x14ac:dyDescent="0.25">
      <c r="A23" s="16">
        <f>'Sales Management Sheet'!A23</f>
        <v>46132</v>
      </c>
      <c r="B23" s="23">
        <f>'Sales Management Sheet'!B23</f>
        <v>46132</v>
      </c>
      <c r="C23" s="13"/>
      <c r="D23" s="3"/>
      <c r="E23" s="3"/>
      <c r="F23" s="3"/>
      <c r="G23" s="3"/>
      <c r="H23" s="3"/>
      <c r="I23" s="3"/>
      <c r="J23" s="3"/>
      <c r="K23" s="3"/>
      <c r="L23" s="3"/>
      <c r="M23" s="3"/>
      <c r="N23" s="3"/>
      <c r="O23" s="3"/>
      <c r="P23" s="3"/>
      <c r="Q23" s="3"/>
      <c r="R23" s="3"/>
      <c r="S23" s="3"/>
      <c r="T23" s="3"/>
      <c r="U23" s="3"/>
      <c r="V23" s="3"/>
      <c r="W23" s="3"/>
      <c r="X23" s="3"/>
      <c r="Y23" s="4">
        <f t="shared" si="0"/>
        <v>0</v>
      </c>
      <c r="Z23" s="4">
        <f t="shared" si="1"/>
        <v>0</v>
      </c>
    </row>
    <row r="24" spans="1:26" x14ac:dyDescent="0.25">
      <c r="A24" s="16">
        <f>'Sales Management Sheet'!A24</f>
        <v>46133</v>
      </c>
      <c r="B24" s="23">
        <f>'Sales Management Sheet'!B24</f>
        <v>46133</v>
      </c>
      <c r="C24" s="13"/>
      <c r="D24" s="3"/>
      <c r="E24" s="3"/>
      <c r="F24" s="3"/>
      <c r="G24" s="3"/>
      <c r="H24" s="3"/>
      <c r="I24" s="3"/>
      <c r="J24" s="3"/>
      <c r="K24" s="3"/>
      <c r="L24" s="3"/>
      <c r="M24" s="3"/>
      <c r="N24" s="3"/>
      <c r="O24" s="3"/>
      <c r="P24" s="3"/>
      <c r="Q24" s="3"/>
      <c r="R24" s="3"/>
      <c r="S24" s="3"/>
      <c r="T24" s="3"/>
      <c r="U24" s="3"/>
      <c r="V24" s="3"/>
      <c r="W24" s="3"/>
      <c r="X24" s="3"/>
      <c r="Y24" s="4">
        <f t="shared" si="0"/>
        <v>0</v>
      </c>
      <c r="Z24" s="4">
        <f t="shared" si="1"/>
        <v>0</v>
      </c>
    </row>
    <row r="25" spans="1:26" x14ac:dyDescent="0.25">
      <c r="A25" s="16">
        <f>'Sales Management Sheet'!A25</f>
        <v>46134</v>
      </c>
      <c r="B25" s="23">
        <f>'Sales Management Sheet'!B25</f>
        <v>46134</v>
      </c>
      <c r="C25" s="13"/>
      <c r="D25" s="3"/>
      <c r="E25" s="3"/>
      <c r="F25" s="3"/>
      <c r="G25" s="3"/>
      <c r="H25" s="3"/>
      <c r="I25" s="3"/>
      <c r="J25" s="3"/>
      <c r="K25" s="3"/>
      <c r="L25" s="3"/>
      <c r="M25" s="3"/>
      <c r="N25" s="3"/>
      <c r="O25" s="3"/>
      <c r="P25" s="3"/>
      <c r="Q25" s="3"/>
      <c r="R25" s="3"/>
      <c r="S25" s="3"/>
      <c r="T25" s="3"/>
      <c r="U25" s="3"/>
      <c r="V25" s="3"/>
      <c r="W25" s="3"/>
      <c r="X25" s="3"/>
      <c r="Y25" s="4">
        <f t="shared" si="0"/>
        <v>0</v>
      </c>
      <c r="Z25" s="4">
        <f t="shared" si="1"/>
        <v>0</v>
      </c>
    </row>
    <row r="26" spans="1:26" x14ac:dyDescent="0.25">
      <c r="A26" s="16">
        <f>'Sales Management Sheet'!A26</f>
        <v>46135</v>
      </c>
      <c r="B26" s="23">
        <f>'Sales Management Sheet'!B26</f>
        <v>46135</v>
      </c>
      <c r="C26" s="13"/>
      <c r="D26" s="3"/>
      <c r="E26" s="3"/>
      <c r="F26" s="3"/>
      <c r="G26" s="3"/>
      <c r="H26" s="3"/>
      <c r="I26" s="3"/>
      <c r="J26" s="3"/>
      <c r="K26" s="3"/>
      <c r="L26" s="3"/>
      <c r="M26" s="3"/>
      <c r="N26" s="3"/>
      <c r="O26" s="3"/>
      <c r="P26" s="3"/>
      <c r="Q26" s="3"/>
      <c r="R26" s="3"/>
      <c r="S26" s="3"/>
      <c r="T26" s="3"/>
      <c r="U26" s="3"/>
      <c r="V26" s="3"/>
      <c r="W26" s="3"/>
      <c r="X26" s="3"/>
      <c r="Y26" s="4">
        <f t="shared" si="0"/>
        <v>0</v>
      </c>
      <c r="Z26" s="4">
        <f t="shared" si="1"/>
        <v>0</v>
      </c>
    </row>
    <row r="27" spans="1:26" x14ac:dyDescent="0.25">
      <c r="A27" s="16">
        <f>'Sales Management Sheet'!A27</f>
        <v>46136</v>
      </c>
      <c r="B27" s="23">
        <f>'Sales Management Sheet'!B27</f>
        <v>46136</v>
      </c>
      <c r="C27" s="13"/>
      <c r="D27" s="3"/>
      <c r="E27" s="3"/>
      <c r="F27" s="3"/>
      <c r="G27" s="3"/>
      <c r="H27" s="3"/>
      <c r="I27" s="3"/>
      <c r="J27" s="3"/>
      <c r="K27" s="3"/>
      <c r="L27" s="3"/>
      <c r="M27" s="3"/>
      <c r="N27" s="3"/>
      <c r="O27" s="3"/>
      <c r="P27" s="3"/>
      <c r="Q27" s="3"/>
      <c r="R27" s="3"/>
      <c r="S27" s="3"/>
      <c r="T27" s="3"/>
      <c r="U27" s="3"/>
      <c r="V27" s="3"/>
      <c r="W27" s="3"/>
      <c r="X27" s="3"/>
      <c r="Y27" s="4">
        <f t="shared" si="0"/>
        <v>0</v>
      </c>
      <c r="Z27" s="4">
        <f t="shared" si="1"/>
        <v>0</v>
      </c>
    </row>
    <row r="28" spans="1:26" x14ac:dyDescent="0.25">
      <c r="A28" s="16">
        <f>'Sales Management Sheet'!A28</f>
        <v>46137</v>
      </c>
      <c r="B28" s="23">
        <f>'Sales Management Sheet'!B28</f>
        <v>46137</v>
      </c>
      <c r="C28" s="13"/>
      <c r="D28" s="3"/>
      <c r="E28" s="3"/>
      <c r="F28" s="3"/>
      <c r="G28" s="3"/>
      <c r="H28" s="3"/>
      <c r="I28" s="3"/>
      <c r="J28" s="3"/>
      <c r="K28" s="3"/>
      <c r="L28" s="3"/>
      <c r="M28" s="3"/>
      <c r="N28" s="3"/>
      <c r="O28" s="3"/>
      <c r="P28" s="3"/>
      <c r="Q28" s="3"/>
      <c r="R28" s="3"/>
      <c r="S28" s="3"/>
      <c r="T28" s="3"/>
      <c r="U28" s="3"/>
      <c r="V28" s="3"/>
      <c r="W28" s="3"/>
      <c r="X28" s="3"/>
      <c r="Y28" s="4">
        <f t="shared" si="0"/>
        <v>0</v>
      </c>
      <c r="Z28" s="4">
        <f t="shared" si="1"/>
        <v>0</v>
      </c>
    </row>
    <row r="29" spans="1:26" x14ac:dyDescent="0.25">
      <c r="A29" s="16">
        <f>'Sales Management Sheet'!A29</f>
        <v>46138</v>
      </c>
      <c r="B29" s="23">
        <f>'Sales Management Sheet'!B29</f>
        <v>46138</v>
      </c>
      <c r="C29" s="13"/>
      <c r="D29" s="3"/>
      <c r="E29" s="3"/>
      <c r="F29" s="3"/>
      <c r="G29" s="3"/>
      <c r="H29" s="3"/>
      <c r="I29" s="3"/>
      <c r="J29" s="3"/>
      <c r="K29" s="3"/>
      <c r="L29" s="3"/>
      <c r="M29" s="3"/>
      <c r="N29" s="3"/>
      <c r="O29" s="3"/>
      <c r="P29" s="3"/>
      <c r="Q29" s="3"/>
      <c r="R29" s="3"/>
      <c r="S29" s="3"/>
      <c r="T29" s="3"/>
      <c r="U29" s="3"/>
      <c r="V29" s="3"/>
      <c r="W29" s="3"/>
      <c r="X29" s="3"/>
      <c r="Y29" s="4">
        <f t="shared" si="0"/>
        <v>0</v>
      </c>
      <c r="Z29" s="4">
        <f t="shared" si="1"/>
        <v>0</v>
      </c>
    </row>
    <row r="30" spans="1:26" x14ac:dyDescent="0.25">
      <c r="A30" s="16">
        <f>'Sales Management Sheet'!A30</f>
        <v>46139</v>
      </c>
      <c r="B30" s="23">
        <f>'Sales Management Sheet'!B30</f>
        <v>46139</v>
      </c>
      <c r="C30" s="13"/>
      <c r="D30" s="3"/>
      <c r="E30" s="3"/>
      <c r="F30" s="3"/>
      <c r="G30" s="3"/>
      <c r="H30" s="3"/>
      <c r="I30" s="3"/>
      <c r="J30" s="3"/>
      <c r="K30" s="3"/>
      <c r="L30" s="3"/>
      <c r="M30" s="3"/>
      <c r="N30" s="3"/>
      <c r="O30" s="3"/>
      <c r="P30" s="3"/>
      <c r="Q30" s="3"/>
      <c r="R30" s="3"/>
      <c r="S30" s="3"/>
      <c r="T30" s="3"/>
      <c r="U30" s="3"/>
      <c r="V30" s="3"/>
      <c r="W30" s="3"/>
      <c r="X30" s="3"/>
      <c r="Y30" s="4">
        <f t="shared" si="0"/>
        <v>0</v>
      </c>
      <c r="Z30" s="4">
        <f t="shared" si="1"/>
        <v>0</v>
      </c>
    </row>
    <row r="31" spans="1:26" x14ac:dyDescent="0.25">
      <c r="A31" s="16">
        <f>'Sales Management Sheet'!A31</f>
        <v>46140</v>
      </c>
      <c r="B31" s="23">
        <f>'Sales Management Sheet'!B31</f>
        <v>46140</v>
      </c>
      <c r="C31" s="13"/>
      <c r="D31" s="3"/>
      <c r="E31" s="3"/>
      <c r="F31" s="3"/>
      <c r="G31" s="3"/>
      <c r="H31" s="3"/>
      <c r="I31" s="3"/>
      <c r="J31" s="3"/>
      <c r="K31" s="3"/>
      <c r="L31" s="3"/>
      <c r="M31" s="3"/>
      <c r="N31" s="3"/>
      <c r="O31" s="3"/>
      <c r="P31" s="3"/>
      <c r="Q31" s="3"/>
      <c r="R31" s="3"/>
      <c r="S31" s="3"/>
      <c r="T31" s="3"/>
      <c r="U31" s="3"/>
      <c r="V31" s="3"/>
      <c r="W31" s="3"/>
      <c r="X31" s="3"/>
      <c r="Y31" s="4">
        <f t="shared" si="0"/>
        <v>0</v>
      </c>
      <c r="Z31" s="4">
        <f t="shared" si="1"/>
        <v>0</v>
      </c>
    </row>
    <row r="32" spans="1:26" x14ac:dyDescent="0.25">
      <c r="A32" s="16">
        <f>'Sales Management Sheet'!A32</f>
        <v>46141</v>
      </c>
      <c r="B32" s="23">
        <f>'Sales Management Sheet'!B32</f>
        <v>46141</v>
      </c>
      <c r="C32" s="13"/>
      <c r="D32" s="3"/>
      <c r="E32" s="3"/>
      <c r="F32" s="3"/>
      <c r="G32" s="3"/>
      <c r="H32" s="3"/>
      <c r="I32" s="3"/>
      <c r="J32" s="3"/>
      <c r="K32" s="3"/>
      <c r="L32" s="3"/>
      <c r="M32" s="3"/>
      <c r="N32" s="3"/>
      <c r="O32" s="3"/>
      <c r="P32" s="3"/>
      <c r="Q32" s="3"/>
      <c r="R32" s="3"/>
      <c r="S32" s="3"/>
      <c r="T32" s="3"/>
      <c r="U32" s="3"/>
      <c r="V32" s="3"/>
      <c r="W32" s="3"/>
      <c r="X32" s="3"/>
      <c r="Y32" s="4">
        <f t="shared" si="0"/>
        <v>0</v>
      </c>
      <c r="Z32" s="4">
        <f t="shared" si="1"/>
        <v>0</v>
      </c>
    </row>
    <row r="33" spans="1:26" x14ac:dyDescent="0.25">
      <c r="A33" s="16">
        <f>'Sales Management Sheet'!A33</f>
        <v>46142</v>
      </c>
      <c r="B33" s="23">
        <f>'Sales Management Sheet'!B33</f>
        <v>46142</v>
      </c>
      <c r="C33" s="13"/>
      <c r="D33" s="3"/>
      <c r="E33" s="3"/>
      <c r="F33" s="3"/>
      <c r="G33" s="3"/>
      <c r="H33" s="3"/>
      <c r="I33" s="3"/>
      <c r="J33" s="3"/>
      <c r="K33" s="3"/>
      <c r="L33" s="3"/>
      <c r="M33" s="3"/>
      <c r="N33" s="3"/>
      <c r="O33" s="3"/>
      <c r="P33" s="3"/>
      <c r="Q33" s="3"/>
      <c r="R33" s="3"/>
      <c r="S33" s="3"/>
      <c r="T33" s="3"/>
      <c r="U33" s="3"/>
      <c r="V33" s="3"/>
      <c r="W33" s="3"/>
      <c r="X33" s="3"/>
      <c r="Y33" s="4">
        <f t="shared" si="0"/>
        <v>0</v>
      </c>
      <c r="Z33" s="4">
        <f t="shared" si="1"/>
        <v>0</v>
      </c>
    </row>
    <row r="34" spans="1:26" x14ac:dyDescent="0.25">
      <c r="A34" s="16">
        <f>'Sales Management Sheet'!A34</f>
        <v>46143</v>
      </c>
      <c r="B34" s="17">
        <f>'Sales Management Sheet'!B34</f>
        <v>46143</v>
      </c>
      <c r="C34" s="13"/>
      <c r="D34" s="3"/>
      <c r="E34" s="3"/>
      <c r="F34" s="3"/>
      <c r="G34" s="3"/>
      <c r="H34" s="3"/>
      <c r="I34" s="3"/>
      <c r="J34" s="3"/>
      <c r="K34" s="3"/>
      <c r="L34" s="3"/>
      <c r="M34" s="3"/>
      <c r="N34" s="3"/>
      <c r="O34" s="3"/>
      <c r="P34" s="3"/>
      <c r="Q34" s="3"/>
      <c r="R34" s="3"/>
      <c r="S34" s="3"/>
      <c r="T34" s="3"/>
      <c r="U34" s="3"/>
      <c r="V34" s="3"/>
      <c r="W34" s="3"/>
      <c r="X34" s="3"/>
      <c r="Y34" s="4">
        <f t="shared" si="0"/>
        <v>0</v>
      </c>
      <c r="Z34" s="4">
        <f t="shared" si="1"/>
        <v>0</v>
      </c>
    </row>
    <row r="35" spans="1:26" ht="15.75" thickBot="1" x14ac:dyDescent="0.3">
      <c r="A35" s="287" t="s">
        <v>28</v>
      </c>
      <c r="B35" s="288"/>
      <c r="C35" s="14">
        <f>SUM(C4:C34)</f>
        <v>0</v>
      </c>
      <c r="D35" s="5">
        <f t="shared" ref="D35:X35" si="2">SUM(D4:D34)</f>
        <v>0</v>
      </c>
      <c r="E35" s="5">
        <f t="shared" si="2"/>
        <v>0</v>
      </c>
      <c r="F35" s="5">
        <f t="shared" si="2"/>
        <v>0</v>
      </c>
      <c r="G35" s="5">
        <f t="shared" si="2"/>
        <v>0</v>
      </c>
      <c r="H35" s="5">
        <f t="shared" si="2"/>
        <v>0</v>
      </c>
      <c r="I35" s="5">
        <f t="shared" si="2"/>
        <v>0</v>
      </c>
      <c r="J35" s="5">
        <f t="shared" si="2"/>
        <v>0</v>
      </c>
      <c r="K35" s="5">
        <f t="shared" si="2"/>
        <v>0</v>
      </c>
      <c r="L35" s="5">
        <f t="shared" si="2"/>
        <v>0</v>
      </c>
      <c r="M35" s="5">
        <f t="shared" si="2"/>
        <v>0</v>
      </c>
      <c r="N35" s="5">
        <f t="shared" si="2"/>
        <v>0</v>
      </c>
      <c r="O35" s="5">
        <f t="shared" si="2"/>
        <v>0</v>
      </c>
      <c r="P35" s="5">
        <f t="shared" si="2"/>
        <v>0</v>
      </c>
      <c r="Q35" s="5">
        <f t="shared" si="2"/>
        <v>0</v>
      </c>
      <c r="R35" s="5">
        <f t="shared" si="2"/>
        <v>0</v>
      </c>
      <c r="S35" s="5">
        <f t="shared" si="2"/>
        <v>0</v>
      </c>
      <c r="T35" s="5">
        <f t="shared" si="2"/>
        <v>0</v>
      </c>
      <c r="U35" s="5">
        <f t="shared" si="2"/>
        <v>0</v>
      </c>
      <c r="V35" s="5">
        <f t="shared" si="2"/>
        <v>0</v>
      </c>
      <c r="W35" s="5">
        <f t="shared" si="2"/>
        <v>0</v>
      </c>
      <c r="X35" s="5">
        <f t="shared" si="2"/>
        <v>0</v>
      </c>
      <c r="Y35" s="5">
        <f t="shared" si="0"/>
        <v>0</v>
      </c>
      <c r="Z35" s="5">
        <f t="shared" si="1"/>
        <v>0</v>
      </c>
    </row>
    <row r="36" spans="1:26" x14ac:dyDescent="0.25">
      <c r="B36" s="2"/>
    </row>
    <row r="37" spans="1:26" x14ac:dyDescent="0.25">
      <c r="B37" s="2"/>
    </row>
    <row r="38" spans="1:26" x14ac:dyDescent="0.25">
      <c r="B38" s="2"/>
    </row>
    <row r="39" spans="1:26" x14ac:dyDescent="0.25">
      <c r="B39" s="2"/>
    </row>
    <row r="40" spans="1:26" x14ac:dyDescent="0.25">
      <c r="B40" s="2"/>
    </row>
    <row r="41" spans="1:26" x14ac:dyDescent="0.25">
      <c r="B41" s="2"/>
    </row>
    <row r="42" spans="1:26" x14ac:dyDescent="0.25">
      <c r="B42" s="2"/>
    </row>
    <row r="43" spans="1:26" x14ac:dyDescent="0.25">
      <c r="B43" s="2"/>
    </row>
    <row r="44" spans="1:26" x14ac:dyDescent="0.25">
      <c r="B44" s="2"/>
    </row>
    <row r="45" spans="1:26" x14ac:dyDescent="0.25">
      <c r="B45" s="2"/>
    </row>
    <row r="46" spans="1:26" x14ac:dyDescent="0.25">
      <c r="B46" s="2"/>
    </row>
    <row r="47" spans="1:26" x14ac:dyDescent="0.25">
      <c r="B47" s="2"/>
    </row>
    <row r="48" spans="1:26" x14ac:dyDescent="0.25">
      <c r="B48" s="2"/>
    </row>
    <row r="49" spans="2:2" x14ac:dyDescent="0.25">
      <c r="B49" s="2"/>
    </row>
    <row r="50" spans="2:2" x14ac:dyDescent="0.25">
      <c r="B50" s="2"/>
    </row>
    <row r="51" spans="2:2" x14ac:dyDescent="0.25">
      <c r="B51" s="2"/>
    </row>
    <row r="52" spans="2:2" x14ac:dyDescent="0.25">
      <c r="B52" s="2"/>
    </row>
    <row r="53" spans="2:2" x14ac:dyDescent="0.25">
      <c r="B53" s="2"/>
    </row>
    <row r="54" spans="2:2" x14ac:dyDescent="0.25">
      <c r="B54" s="2"/>
    </row>
    <row r="55" spans="2:2" x14ac:dyDescent="0.25">
      <c r="B55" s="2"/>
    </row>
    <row r="56" spans="2:2" x14ac:dyDescent="0.25">
      <c r="B56" s="2"/>
    </row>
    <row r="57" spans="2:2" x14ac:dyDescent="0.25">
      <c r="B57" s="2"/>
    </row>
    <row r="58" spans="2:2" x14ac:dyDescent="0.25">
      <c r="B58" s="2"/>
    </row>
    <row r="59" spans="2:2" x14ac:dyDescent="0.25">
      <c r="B59" s="2"/>
    </row>
    <row r="60" spans="2:2" x14ac:dyDescent="0.25">
      <c r="B60" s="2"/>
    </row>
    <row r="61" spans="2:2" x14ac:dyDescent="0.25">
      <c r="B61" s="2"/>
    </row>
    <row r="62" spans="2:2" x14ac:dyDescent="0.25">
      <c r="B62" s="2"/>
    </row>
    <row r="63" spans="2:2" x14ac:dyDescent="0.25">
      <c r="B63" s="2"/>
    </row>
    <row r="64" spans="2:2" x14ac:dyDescent="0.25">
      <c r="B64" s="2"/>
    </row>
    <row r="65" spans="2:2" x14ac:dyDescent="0.25">
      <c r="B65" s="2"/>
    </row>
    <row r="66" spans="2:2" x14ac:dyDescent="0.25">
      <c r="B66" s="2"/>
    </row>
  </sheetData>
  <mergeCells count="5">
    <mergeCell ref="A35:B35"/>
    <mergeCell ref="A2:A3"/>
    <mergeCell ref="B2:B3"/>
    <mergeCell ref="Y2:Y3"/>
    <mergeCell ref="Z2:Z3"/>
  </mergeCells>
  <pageMargins left="0.7" right="0.7" top="0.75" bottom="0.75" header="0.3" footer="0.3"/>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B3D24A-5DBB-458F-A14F-882613E88095}">
  <dimension ref="B1:F23"/>
  <sheetViews>
    <sheetView showGridLines="0" workbookViewId="0"/>
  </sheetViews>
  <sheetFormatPr defaultRowHeight="15" x14ac:dyDescent="0.25"/>
  <cols>
    <col min="1" max="1" width="1.140625" customWidth="1"/>
    <col min="2" max="2" width="64.42578125" customWidth="1"/>
    <col min="3" max="3" width="1.5703125" customWidth="1"/>
    <col min="4" max="4" width="5.5703125" customWidth="1"/>
    <col min="5" max="6" width="16" customWidth="1"/>
  </cols>
  <sheetData>
    <row r="1" spans="2:6" ht="30" x14ac:dyDescent="0.25">
      <c r="B1" s="180" t="s">
        <v>265</v>
      </c>
      <c r="C1" s="180"/>
      <c r="D1" s="189"/>
      <c r="E1" s="189"/>
      <c r="F1" s="189"/>
    </row>
    <row r="2" spans="2:6" x14ac:dyDescent="0.25">
      <c r="B2" s="180" t="s">
        <v>266</v>
      </c>
      <c r="C2" s="180"/>
      <c r="D2" s="189"/>
      <c r="E2" s="189"/>
      <c r="F2" s="189"/>
    </row>
    <row r="3" spans="2:6" x14ac:dyDescent="0.25">
      <c r="B3" s="181"/>
      <c r="C3" s="181"/>
      <c r="D3" s="190"/>
      <c r="E3" s="190"/>
      <c r="F3" s="190"/>
    </row>
    <row r="4" spans="2:6" ht="45" x14ac:dyDescent="0.25">
      <c r="B4" s="181" t="s">
        <v>267</v>
      </c>
      <c r="C4" s="181"/>
      <c r="D4" s="190"/>
      <c r="E4" s="190"/>
      <c r="F4" s="190"/>
    </row>
    <row r="5" spans="2:6" x14ac:dyDescent="0.25">
      <c r="B5" s="181"/>
      <c r="C5" s="181"/>
      <c r="D5" s="190"/>
      <c r="E5" s="190"/>
      <c r="F5" s="190"/>
    </row>
    <row r="6" spans="2:6" x14ac:dyDescent="0.25">
      <c r="B6" s="180" t="s">
        <v>268</v>
      </c>
      <c r="C6" s="180"/>
      <c r="D6" s="189"/>
      <c r="E6" s="189" t="s">
        <v>269</v>
      </c>
      <c r="F6" s="189" t="s">
        <v>270</v>
      </c>
    </row>
    <row r="7" spans="2:6" ht="15.75" thickBot="1" x14ac:dyDescent="0.3">
      <c r="B7" s="181"/>
      <c r="C7" s="181"/>
      <c r="D7" s="190"/>
      <c r="E7" s="190"/>
      <c r="F7" s="190"/>
    </row>
    <row r="8" spans="2:6" x14ac:dyDescent="0.25">
      <c r="B8" s="182" t="s">
        <v>271</v>
      </c>
      <c r="C8" s="183"/>
      <c r="D8" s="191"/>
      <c r="E8" s="191">
        <v>2</v>
      </c>
      <c r="F8" s="192"/>
    </row>
    <row r="9" spans="2:6" ht="30" x14ac:dyDescent="0.25">
      <c r="B9" s="184"/>
      <c r="C9" s="181"/>
      <c r="D9" s="190"/>
      <c r="E9" s="193" t="s">
        <v>272</v>
      </c>
      <c r="F9" s="194" t="s">
        <v>273</v>
      </c>
    </row>
    <row r="10" spans="2:6" ht="15.75" thickBot="1" x14ac:dyDescent="0.3">
      <c r="B10" s="185"/>
      <c r="C10" s="186"/>
      <c r="D10" s="195"/>
      <c r="E10" s="195"/>
      <c r="F10" s="196" t="s">
        <v>273</v>
      </c>
    </row>
    <row r="11" spans="2:6" ht="15.75" thickBot="1" x14ac:dyDescent="0.3">
      <c r="B11" s="181"/>
      <c r="C11" s="181"/>
      <c r="D11" s="190"/>
      <c r="E11" s="190"/>
      <c r="F11" s="190"/>
    </row>
    <row r="12" spans="2:6" ht="60" x14ac:dyDescent="0.25">
      <c r="B12" s="182" t="s">
        <v>274</v>
      </c>
      <c r="C12" s="183"/>
      <c r="D12" s="191"/>
      <c r="E12" s="191">
        <v>1</v>
      </c>
      <c r="F12" s="192"/>
    </row>
    <row r="13" spans="2:6" ht="45.75" thickBot="1" x14ac:dyDescent="0.3">
      <c r="B13" s="185"/>
      <c r="C13" s="186"/>
      <c r="D13" s="195"/>
      <c r="E13" s="197" t="s">
        <v>275</v>
      </c>
      <c r="F13" s="196" t="s">
        <v>273</v>
      </c>
    </row>
    <row r="14" spans="2:6" ht="15.75" thickBot="1" x14ac:dyDescent="0.3">
      <c r="B14" s="181"/>
      <c r="C14" s="181"/>
      <c r="D14" s="190"/>
      <c r="E14" s="190"/>
      <c r="F14" s="190"/>
    </row>
    <row r="15" spans="2:6" ht="45" x14ac:dyDescent="0.25">
      <c r="B15" s="182" t="s">
        <v>276</v>
      </c>
      <c r="C15" s="183"/>
      <c r="D15" s="191"/>
      <c r="E15" s="191">
        <v>3</v>
      </c>
      <c r="F15" s="192"/>
    </row>
    <row r="16" spans="2:6" ht="45" x14ac:dyDescent="0.25">
      <c r="B16" s="184"/>
      <c r="C16" s="181"/>
      <c r="D16" s="190"/>
      <c r="E16" s="193" t="s">
        <v>277</v>
      </c>
      <c r="F16" s="194" t="s">
        <v>273</v>
      </c>
    </row>
    <row r="17" spans="2:6" ht="45.75" thickBot="1" x14ac:dyDescent="0.3">
      <c r="B17" s="185"/>
      <c r="C17" s="186"/>
      <c r="D17" s="195"/>
      <c r="E17" s="197" t="s">
        <v>278</v>
      </c>
      <c r="F17" s="196"/>
    </row>
    <row r="18" spans="2:6" x14ac:dyDescent="0.25">
      <c r="B18" s="181"/>
      <c r="C18" s="181"/>
      <c r="D18" s="190"/>
      <c r="E18" s="190"/>
      <c r="F18" s="190"/>
    </row>
    <row r="19" spans="2:6" x14ac:dyDescent="0.25">
      <c r="B19" s="181"/>
      <c r="C19" s="181"/>
      <c r="D19" s="190"/>
      <c r="E19" s="190"/>
      <c r="F19" s="190"/>
    </row>
    <row r="20" spans="2:6" x14ac:dyDescent="0.25">
      <c r="B20" s="180" t="s">
        <v>279</v>
      </c>
      <c r="C20" s="180"/>
      <c r="D20" s="189"/>
      <c r="E20" s="189"/>
      <c r="F20" s="189"/>
    </row>
    <row r="21" spans="2:6" ht="15.75" thickBot="1" x14ac:dyDescent="0.3">
      <c r="B21" s="181"/>
      <c r="C21" s="181"/>
      <c r="D21" s="190"/>
      <c r="E21" s="190"/>
      <c r="F21" s="190"/>
    </row>
    <row r="22" spans="2:6" ht="45.75" thickBot="1" x14ac:dyDescent="0.3">
      <c r="B22" s="187" t="s">
        <v>280</v>
      </c>
      <c r="C22" s="188"/>
      <c r="D22" s="198"/>
      <c r="E22" s="198">
        <v>98</v>
      </c>
      <c r="F22" s="199" t="s">
        <v>273</v>
      </c>
    </row>
    <row r="23" spans="2:6" x14ac:dyDescent="0.25">
      <c r="B23" s="181"/>
      <c r="C23" s="181"/>
      <c r="D23" s="190"/>
      <c r="E23" s="190"/>
      <c r="F23" s="190"/>
    </row>
  </sheetData>
  <hyperlinks>
    <hyperlink ref="E9" location="'Instruction(สูตร)'!A1:D52" display="'Instruction(สูตร)'!A1:D52" xr:uid="{672440A1-6592-48AA-AD55-2FA6BB15E173}"/>
    <hyperlink ref="E13" location="'Sales Management Sheet'!S4:S34" display="'Sales Management Sheet'!S4:S34" xr:uid="{103F1584-BAB6-48AA-900A-DDF79404E32D}"/>
    <hyperlink ref="E16" location="'Sales Management Sheet'!S4:S35" display="'Sales Management Sheet'!S4:S35" xr:uid="{817BEBE0-6793-4550-888F-43797827FC92}"/>
    <hyperlink ref="E17" location="'Sales Management Sheet'!AS4:AS35" display="'Sales Management Sheet'!AS4:AS35" xr:uid="{753B59BD-75B1-4B8B-8480-271B29A9D37D}"/>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BF6F76C-9D59-425E-9661-CB3CCECAC0A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เวิร์กชีต</vt:lpstr>
      </vt:variant>
      <vt:variant>
        <vt:i4>8</vt:i4>
      </vt:variant>
    </vt:vector>
  </HeadingPairs>
  <TitlesOfParts>
    <vt:vector size="8" baseType="lpstr">
      <vt:lpstr>Instruction1</vt:lpstr>
      <vt:lpstr>Instruction(สูตร)</vt:lpstr>
      <vt:lpstr>Sales Management Sheet</vt:lpstr>
      <vt:lpstr> GSI สาขาที่มี Delivery</vt:lpstr>
      <vt:lpstr>COL Daily</vt:lpstr>
      <vt:lpstr>GSI สาขาที่ไม่มี Delivery</vt:lpstr>
      <vt:lpstr>BY SEG</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 User</dc:creator>
  <cp:lastModifiedBy>Mai Ake</cp:lastModifiedBy>
  <dcterms:created xsi:type="dcterms:W3CDTF">2018-05-27T15:50:11Z</dcterms:created>
  <dcterms:modified xsi:type="dcterms:W3CDTF">2026-04-01T20:00:40Z</dcterms:modified>
</cp:coreProperties>
</file>