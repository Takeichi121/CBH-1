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โฟลเดอร์ใหม่\New folder (2)\"/>
    </mc:Choice>
  </mc:AlternateContent>
  <xr:revisionPtr revIDLastSave="0" documentId="13_ncr:1_{6F1AC3A5-D198-4530-8052-9D20E90598E0}" xr6:coauthVersionLast="47" xr6:coauthVersionMax="47" xr10:uidLastSave="{00000000-0000-0000-0000-000000000000}"/>
  <workbookProtection workbookPassword="CDBD" lockStructure="1"/>
  <bookViews>
    <workbookView xWindow="-120" yWindow="-120" windowWidth="24240" windowHeight="13020" firstSheet="1" activeTab="1" xr2:uid="{00000000-000D-0000-FFFF-FFFF00000000}"/>
  </bookViews>
  <sheets>
    <sheet name="Fix Cost" sheetId="1" state="hidden" r:id="rId1"/>
    <sheet name="COL Daily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2" l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E9" i="2"/>
  <c r="E22" i="2"/>
  <c r="E16" i="2"/>
  <c r="E32" i="2"/>
  <c r="E27" i="2"/>
  <c r="E21" i="2"/>
  <c r="E18" i="2"/>
  <c r="K37" i="2"/>
  <c r="F37" i="2"/>
  <c r="D37" i="2"/>
  <c r="G36" i="2"/>
  <c r="E36" i="2"/>
  <c r="G35" i="2"/>
  <c r="E35" i="2"/>
  <c r="G34" i="2"/>
  <c r="E34" i="2"/>
  <c r="G33" i="2"/>
  <c r="E33" i="2"/>
  <c r="G32" i="2"/>
  <c r="G31" i="2"/>
  <c r="E31" i="2"/>
  <c r="G30" i="2"/>
  <c r="E30" i="2"/>
  <c r="G29" i="2"/>
  <c r="E29" i="2"/>
  <c r="G28" i="2"/>
  <c r="E28" i="2"/>
  <c r="G27" i="2"/>
  <c r="G26" i="2"/>
  <c r="E26" i="2"/>
  <c r="G25" i="2"/>
  <c r="E25" i="2"/>
  <c r="G24" i="2"/>
  <c r="E24" i="2"/>
  <c r="G23" i="2"/>
  <c r="E23" i="2"/>
  <c r="G22" i="2"/>
  <c r="G21" i="2"/>
  <c r="G20" i="2"/>
  <c r="E20" i="2"/>
  <c r="G19" i="2"/>
  <c r="E19" i="2"/>
  <c r="G18" i="2"/>
  <c r="G17" i="2"/>
  <c r="E17" i="2"/>
  <c r="G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G8" i="2"/>
  <c r="E8" i="2"/>
  <c r="G7" i="2"/>
  <c r="E7" i="2"/>
  <c r="L6" i="2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G6" i="2"/>
  <c r="E6" i="2"/>
  <c r="E2" i="2"/>
  <c r="A1" i="2"/>
  <c r="L35" i="1"/>
  <c r="J32" i="1"/>
  <c r="H21" i="1"/>
  <c r="H20" i="1"/>
  <c r="L20" i="1" s="1"/>
  <c r="H19" i="1"/>
  <c r="L19" i="1" s="1"/>
  <c r="H18" i="1"/>
  <c r="L18" i="1" s="1"/>
  <c r="H17" i="1"/>
  <c r="L17" i="1" s="1"/>
  <c r="H16" i="1"/>
  <c r="L16" i="1" s="1"/>
  <c r="H15" i="1"/>
  <c r="L15" i="1" s="1"/>
  <c r="H14" i="1"/>
  <c r="L14" i="1" s="1"/>
  <c r="L13" i="1"/>
  <c r="H12" i="1"/>
  <c r="L12" i="1" s="1"/>
  <c r="H11" i="1"/>
  <c r="L11" i="1" s="1"/>
  <c r="H10" i="1"/>
  <c r="L10" i="1" s="1"/>
  <c r="H9" i="1"/>
  <c r="L9" i="1" s="1"/>
  <c r="H8" i="1"/>
  <c r="L8" i="1" s="1"/>
  <c r="H7" i="1"/>
  <c r="L7" i="1" s="1"/>
  <c r="H6" i="1"/>
  <c r="L6" i="1" s="1"/>
  <c r="H5" i="1"/>
  <c r="E37" i="2" l="1"/>
  <c r="G37" i="2"/>
  <c r="H22" i="1"/>
  <c r="L5" i="1"/>
  <c r="L21" i="1" s="1"/>
  <c r="H24" i="1" s="1"/>
  <c r="H27" i="1" s="1"/>
  <c r="B6" i="2"/>
  <c r="H34" i="1" l="1"/>
  <c r="K32" i="1" s="1"/>
  <c r="L32" i="1" s="1"/>
  <c r="L33" i="1" s="1"/>
  <c r="L34" i="1" s="1"/>
  <c r="L36" i="1" s="1"/>
  <c r="B7" i="2"/>
  <c r="H36" i="1" l="1"/>
  <c r="C32" i="2" s="1"/>
  <c r="H32" i="2" s="1"/>
  <c r="M32" i="2" s="1"/>
  <c r="B8" i="2"/>
  <c r="C34" i="2" l="1"/>
  <c r="H34" i="2" s="1"/>
  <c r="M34" i="2" s="1"/>
  <c r="C12" i="2"/>
  <c r="H12" i="2" s="1"/>
  <c r="M12" i="2" s="1"/>
  <c r="C7" i="2"/>
  <c r="H7" i="2" s="1"/>
  <c r="M7" i="2" s="1"/>
  <c r="C14" i="2"/>
  <c r="H14" i="2" s="1"/>
  <c r="M14" i="2" s="1"/>
  <c r="C13" i="2"/>
  <c r="H13" i="2" s="1"/>
  <c r="M13" i="2" s="1"/>
  <c r="C15" i="2"/>
  <c r="H15" i="2" s="1"/>
  <c r="M15" i="2" s="1"/>
  <c r="C10" i="2"/>
  <c r="H10" i="2" s="1"/>
  <c r="M10" i="2" s="1"/>
  <c r="C22" i="2"/>
  <c r="H22" i="2" s="1"/>
  <c r="M22" i="2" s="1"/>
  <c r="C21" i="2"/>
  <c r="H21" i="2" s="1"/>
  <c r="M21" i="2" s="1"/>
  <c r="C29" i="2"/>
  <c r="H29" i="2" s="1"/>
  <c r="M29" i="2" s="1"/>
  <c r="C31" i="2"/>
  <c r="H31" i="2" s="1"/>
  <c r="M31" i="2" s="1"/>
  <c r="C11" i="2"/>
  <c r="H11" i="2" s="1"/>
  <c r="M11" i="2" s="1"/>
  <c r="C9" i="2"/>
  <c r="H9" i="2" s="1"/>
  <c r="M9" i="2" s="1"/>
  <c r="C8" i="2"/>
  <c r="M8" i="2" s="1"/>
  <c r="C28" i="2"/>
  <c r="H28" i="2" s="1"/>
  <c r="M28" i="2" s="1"/>
  <c r="C36" i="2"/>
  <c r="H36" i="2" s="1"/>
  <c r="M36" i="2" s="1"/>
  <c r="C20" i="2"/>
  <c r="H20" i="2" s="1"/>
  <c r="M20" i="2" s="1"/>
  <c r="C19" i="2"/>
  <c r="H19" i="2" s="1"/>
  <c r="M19" i="2" s="1"/>
  <c r="C17" i="2"/>
  <c r="H17" i="2" s="1"/>
  <c r="M17" i="2" s="1"/>
  <c r="C16" i="2"/>
  <c r="H16" i="2" s="1"/>
  <c r="M16" i="2" s="1"/>
  <c r="C18" i="2"/>
  <c r="H18" i="2" s="1"/>
  <c r="M18" i="2" s="1"/>
  <c r="C23" i="2"/>
  <c r="H23" i="2" s="1"/>
  <c r="M23" i="2" s="1"/>
  <c r="C27" i="2"/>
  <c r="H27" i="2" s="1"/>
  <c r="M27" i="2" s="1"/>
  <c r="C25" i="2"/>
  <c r="H25" i="2" s="1"/>
  <c r="M25" i="2" s="1"/>
  <c r="C24" i="2"/>
  <c r="H24" i="2" s="1"/>
  <c r="M24" i="2" s="1"/>
  <c r="C6" i="2"/>
  <c r="H6" i="2" s="1"/>
  <c r="C30" i="2"/>
  <c r="H30" i="2" s="1"/>
  <c r="M30" i="2" s="1"/>
  <c r="C26" i="2"/>
  <c r="H26" i="2" s="1"/>
  <c r="M26" i="2" s="1"/>
  <c r="C35" i="2"/>
  <c r="H35" i="2" s="1"/>
  <c r="M35" i="2" s="1"/>
  <c r="C33" i="2"/>
  <c r="H33" i="2" s="1"/>
  <c r="M33" i="2" s="1"/>
  <c r="B9" i="2"/>
  <c r="C37" i="2" l="1"/>
  <c r="B10" i="2"/>
  <c r="M6" i="2"/>
  <c r="H37" i="2"/>
  <c r="M37" i="2" s="1"/>
  <c r="I6" i="2"/>
  <c r="I7" i="2" l="1"/>
  <c r="N6" i="2"/>
  <c r="O6" i="2" s="1"/>
  <c r="B11" i="2"/>
  <c r="B12" i="2" l="1"/>
  <c r="I8" i="2"/>
  <c r="N7" i="2"/>
  <c r="O7" i="2" s="1"/>
  <c r="I9" i="2" l="1"/>
  <c r="N8" i="2"/>
  <c r="O8" i="2" s="1"/>
  <c r="B13" i="2"/>
  <c r="B14" i="2" l="1"/>
  <c r="I10" i="2"/>
  <c r="N9" i="2"/>
  <c r="O9" i="2" s="1"/>
  <c r="N10" i="2" l="1"/>
  <c r="O10" i="2" s="1"/>
  <c r="I11" i="2"/>
  <c r="B15" i="2"/>
  <c r="B16" i="2" l="1"/>
  <c r="I12" i="2"/>
  <c r="N11" i="2"/>
  <c r="O11" i="2" s="1"/>
  <c r="I13" i="2" l="1"/>
  <c r="N12" i="2"/>
  <c r="O12" i="2" s="1"/>
  <c r="B17" i="2"/>
  <c r="B18" i="2" l="1"/>
  <c r="I14" i="2"/>
  <c r="N13" i="2"/>
  <c r="O13" i="2" s="1"/>
  <c r="I15" i="2" l="1"/>
  <c r="N14" i="2"/>
  <c r="O14" i="2" s="1"/>
  <c r="B19" i="2"/>
  <c r="B20" i="2" l="1"/>
  <c r="N15" i="2"/>
  <c r="O15" i="2" s="1"/>
  <c r="I16" i="2"/>
  <c r="I17" i="2" l="1"/>
  <c r="N16" i="2"/>
  <c r="O16" i="2" s="1"/>
  <c r="B21" i="2"/>
  <c r="B22" i="2" l="1"/>
  <c r="I18" i="2"/>
  <c r="N17" i="2"/>
  <c r="O17" i="2" s="1"/>
  <c r="N18" i="2" l="1"/>
  <c r="O18" i="2" s="1"/>
  <c r="I19" i="2"/>
  <c r="B23" i="2"/>
  <c r="B24" i="2" l="1"/>
  <c r="I20" i="2"/>
  <c r="N19" i="2"/>
  <c r="O19" i="2" s="1"/>
  <c r="I21" i="2" l="1"/>
  <c r="N20" i="2"/>
  <c r="O20" i="2" s="1"/>
  <c r="B25" i="2"/>
  <c r="B26" i="2" l="1"/>
  <c r="N21" i="2"/>
  <c r="O21" i="2" s="1"/>
  <c r="I22" i="2"/>
  <c r="I23" i="2" l="1"/>
  <c r="N22" i="2"/>
  <c r="O22" i="2" s="1"/>
  <c r="B27" i="2"/>
  <c r="B28" i="2" l="1"/>
  <c r="N23" i="2"/>
  <c r="O23" i="2" s="1"/>
  <c r="I24" i="2"/>
  <c r="I25" i="2" l="1"/>
  <c r="N24" i="2"/>
  <c r="O24" i="2" s="1"/>
  <c r="B29" i="2"/>
  <c r="B30" i="2" l="1"/>
  <c r="I26" i="2"/>
  <c r="N25" i="2"/>
  <c r="O25" i="2" s="1"/>
  <c r="I27" i="2" l="1"/>
  <c r="N26" i="2"/>
  <c r="O26" i="2" s="1"/>
  <c r="B31" i="2"/>
  <c r="B32" i="2" l="1"/>
  <c r="I28" i="2"/>
  <c r="N27" i="2"/>
  <c r="O27" i="2" s="1"/>
  <c r="I29" i="2" l="1"/>
  <c r="N28" i="2"/>
  <c r="O28" i="2" s="1"/>
  <c r="B33" i="2"/>
  <c r="A35" i="2" l="1"/>
  <c r="B34" i="2"/>
  <c r="I30" i="2"/>
  <c r="N29" i="2"/>
  <c r="O29" i="2" s="1"/>
  <c r="I31" i="2" l="1"/>
  <c r="N30" i="2"/>
  <c r="O30" i="2" s="1"/>
  <c r="B35" i="2"/>
  <c r="A36" i="2"/>
  <c r="B36" i="2" s="1"/>
  <c r="N31" i="2" l="1"/>
  <c r="O31" i="2" s="1"/>
  <c r="I32" i="2"/>
  <c r="I33" i="2" l="1"/>
  <c r="N32" i="2"/>
  <c r="O32" i="2" s="1"/>
  <c r="I34" i="2" l="1"/>
  <c r="N33" i="2"/>
  <c r="O33" i="2" s="1"/>
  <c r="I35" i="2" l="1"/>
  <c r="N34" i="2"/>
  <c r="O34" i="2" s="1"/>
  <c r="I36" i="2" l="1"/>
  <c r="N35" i="2"/>
  <c r="O35" i="2" s="1"/>
  <c r="I37" i="2" l="1"/>
  <c r="N37" i="2" s="1"/>
  <c r="O37" i="2" s="1"/>
  <c r="N36" i="2"/>
  <c r="O36" i="2" s="1"/>
</calcChain>
</file>

<file path=xl/sharedStrings.xml><?xml version="1.0" encoding="utf-8"?>
<sst xmlns="http://schemas.openxmlformats.org/spreadsheetml/2006/main" count="83" uniqueCount="70">
  <si>
    <t>Labour control sheet</t>
  </si>
  <si>
    <t>Month :</t>
  </si>
  <si>
    <t>จำนวน</t>
  </si>
  <si>
    <t>เงินเดือน</t>
  </si>
  <si>
    <t>รวม</t>
  </si>
  <si>
    <t xml:space="preserve">MGT   TEAM </t>
  </si>
  <si>
    <t xml:space="preserve"> </t>
  </si>
  <si>
    <t>Manager</t>
  </si>
  <si>
    <t>Shift Manager</t>
  </si>
  <si>
    <t>Management trainee</t>
  </si>
  <si>
    <t xml:space="preserve">FULL  TIME   COST </t>
  </si>
  <si>
    <t>Team Leader</t>
  </si>
  <si>
    <t>Full time</t>
  </si>
  <si>
    <t>TRAVELING - Management</t>
  </si>
  <si>
    <t xml:space="preserve"> รวม</t>
  </si>
  <si>
    <t>PROVIDENT   FUND (* % of salary 1+2)</t>
  </si>
  <si>
    <t>Diligent South</t>
  </si>
  <si>
    <t>Housing Allowance</t>
  </si>
  <si>
    <t>SOCIAL   SECURITY (** 5% of salary 1+2)</t>
  </si>
  <si>
    <t>Over Night Shift Allow.</t>
  </si>
  <si>
    <t>Allowance Transportation</t>
  </si>
  <si>
    <t>BONUS 8.33%</t>
  </si>
  <si>
    <t>Forecast Sales MTD :</t>
  </si>
  <si>
    <t>Budget COL</t>
  </si>
  <si>
    <t>Medical + Uniform</t>
  </si>
  <si>
    <t>hire P/T (฿)</t>
  </si>
  <si>
    <t>Incentive (Sales &amp; Store con.)</t>
  </si>
  <si>
    <t>hours/month</t>
  </si>
  <si>
    <t>Work man compensation</t>
  </si>
  <si>
    <t>hours/day</t>
  </si>
  <si>
    <t>TOTALL   FIX   COST</t>
  </si>
  <si>
    <t>Part time</t>
  </si>
  <si>
    <t>persons/day</t>
  </si>
  <si>
    <t>Number of days</t>
  </si>
  <si>
    <t>FT</t>
  </si>
  <si>
    <t>Fixed cost per day</t>
  </si>
  <si>
    <t>Total</t>
  </si>
  <si>
    <t>*</t>
  </si>
  <si>
    <t>Year with Minor</t>
  </si>
  <si>
    <t>0-4 year</t>
  </si>
  <si>
    <t>4-6 year</t>
  </si>
  <si>
    <t>6-7 year</t>
  </si>
  <si>
    <t xml:space="preserve">7-8 year </t>
  </si>
  <si>
    <t>&gt;8 year</t>
  </si>
  <si>
    <t>**</t>
  </si>
  <si>
    <t>5% of salary - base not exceed 15,000</t>
  </si>
  <si>
    <t>(so range will be 83-750 Bht)</t>
  </si>
  <si>
    <t xml:space="preserve">Month :  </t>
  </si>
  <si>
    <t>Budget</t>
  </si>
  <si>
    <t>Avg. per hour</t>
  </si>
  <si>
    <t>ค่ารถ Close shift</t>
  </si>
  <si>
    <t>Date</t>
  </si>
  <si>
    <t>Day</t>
  </si>
  <si>
    <t>Fix cost (Full time)</t>
  </si>
  <si>
    <t>Total Hrs (Part Time)</t>
  </si>
  <si>
    <t xml:space="preserve">Cost </t>
  </si>
  <si>
    <t>จำนวนคนปิดร้าน</t>
  </si>
  <si>
    <t>Close shift</t>
  </si>
  <si>
    <t>COL(day)</t>
  </si>
  <si>
    <t>Accum. COL</t>
  </si>
  <si>
    <t>Sales(day)</t>
  </si>
  <si>
    <t>Sales MTD</t>
  </si>
  <si>
    <t>% Daily</t>
  </si>
  <si>
    <t>MTD % total</t>
  </si>
  <si>
    <t>VAR</t>
  </si>
  <si>
    <t>Totel</t>
  </si>
  <si>
    <t>.</t>
  </si>
  <si>
    <t>Assistant Manager 1</t>
  </si>
  <si>
    <t>Assistant Manager 2</t>
  </si>
  <si>
    <t>Bangchak Phetburi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</si>
</sst>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* #,##0_-;\-* #,##0_-;_-* &quot;-&quot;??_-;_-@_-"/>
    <numFmt numFmtId="166" formatCode="B1mmm\-yy"/>
    <numFmt numFmtId="167" formatCode="_-* #,##0.0_-;\-* #,##0.0_-;_-* &quot;-&quot;??_-;_-@_-"/>
    <numFmt numFmtId="168" formatCode="_(* #,##0.0_);_(* \(#,##0.0\);_(* &quot;-&quot;??_);_(@_)"/>
    <numFmt numFmtId="169" formatCode="0.0%"/>
    <numFmt numFmtId="170" formatCode="[$-409]d\-mmm;@"/>
    <numFmt numFmtId="171" formatCode="ddd"/>
    <numFmt numFmtId="172" formatCode="[$-409]d\-mmm\-yy;@"/>
  </numFmts>
  <fonts count="23" x14ac:knownFonts="1">
    <font>
      <sz val="10"/>
      <name val="Arial"/>
      <family val="2"/>
    </font>
    <font>
      <sz val="14"/>
      <name val="Cordia New"/>
      <family val="2"/>
    </font>
    <font>
      <b/>
      <sz val="18"/>
      <color indexed="9"/>
      <name val="Tahoma"/>
      <family val="2"/>
    </font>
    <font>
      <b/>
      <sz val="12"/>
      <name val="Tahoma"/>
      <family val="2"/>
    </font>
    <font>
      <sz val="10"/>
      <name val="Arial"/>
      <family val="2"/>
    </font>
    <font>
      <b/>
      <sz val="14"/>
      <name val="Tahoma"/>
      <family val="2"/>
    </font>
    <font>
      <sz val="12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4"/>
      <color indexed="9"/>
      <name val="Tahoma"/>
      <family val="2"/>
    </font>
    <font>
      <b/>
      <sz val="12"/>
      <color indexed="9"/>
      <name val="Tahoma"/>
      <family val="2"/>
    </font>
    <font>
      <sz val="18"/>
      <name val="Cordia New"/>
      <family val="2"/>
      <charset val="222"/>
    </font>
    <font>
      <b/>
      <sz val="18"/>
      <name val="Cordia New"/>
      <family val="2"/>
    </font>
    <font>
      <b/>
      <sz val="16"/>
      <name val="Cordia New"/>
      <family val="2"/>
    </font>
    <font>
      <b/>
      <sz val="18"/>
      <color indexed="43"/>
      <name val="Cordia New"/>
      <family val="2"/>
    </font>
    <font>
      <b/>
      <sz val="18"/>
      <name val="Cordia New"/>
      <family val="2"/>
      <charset val="22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Cordia New"/>
      <family val="2"/>
    </font>
    <font>
      <b/>
      <sz val="14"/>
      <name val="Cordia New"/>
      <family val="2"/>
    </font>
    <font>
      <sz val="16"/>
      <name val="Cordia New"/>
      <family val="2"/>
    </font>
    <font>
      <b/>
      <sz val="16"/>
      <color indexed="9"/>
      <name val="Cordia New"/>
      <family val="2"/>
    </font>
    <font>
      <sz val="10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</cellStyleXfs>
  <cellXfs count="120">
    <xf numFmtId="0" fontId="0" fillId="0" borderId="0" xfId="0"/>
    <xf numFmtId="0" fontId="3" fillId="0" borderId="0" xfId="3" applyFont="1"/>
    <xf numFmtId="0" fontId="6" fillId="0" borderId="0" xfId="0" applyFont="1"/>
    <xf numFmtId="0" fontId="6" fillId="0" borderId="0" xfId="3" applyFont="1"/>
    <xf numFmtId="166" fontId="6" fillId="3" borderId="0" xfId="3" applyNumberFormat="1" applyFont="1" applyFill="1" applyProtection="1">
      <protection locked="0"/>
    </xf>
    <xf numFmtId="0" fontId="3" fillId="3" borderId="3" xfId="3" applyFont="1" applyFill="1" applyBorder="1" applyAlignment="1">
      <alignment horizontal="center"/>
    </xf>
    <xf numFmtId="164" fontId="3" fillId="3" borderId="3" xfId="1" applyFont="1" applyFill="1" applyBorder="1" applyAlignment="1">
      <alignment horizontal="center"/>
    </xf>
    <xf numFmtId="0" fontId="6" fillId="0" borderId="4" xfId="3" applyFont="1" applyBorder="1"/>
    <xf numFmtId="0" fontId="6" fillId="3" borderId="5" xfId="3" applyFont="1" applyFill="1" applyBorder="1" applyProtection="1">
      <protection locked="0"/>
    </xf>
    <xf numFmtId="165" fontId="6" fillId="3" borderId="5" xfId="1" applyNumberFormat="1" applyFont="1" applyFill="1" applyBorder="1" applyProtection="1">
      <protection locked="0"/>
    </xf>
    <xf numFmtId="164" fontId="6" fillId="0" borderId="5" xfId="1" applyFont="1" applyFill="1" applyBorder="1"/>
    <xf numFmtId="0" fontId="6" fillId="0" borderId="6" xfId="3" applyFont="1" applyBorder="1"/>
    <xf numFmtId="9" fontId="6" fillId="0" borderId="7" xfId="3" applyNumberFormat="1" applyFont="1" applyBorder="1"/>
    <xf numFmtId="164" fontId="6" fillId="0" borderId="8" xfId="3" applyNumberFormat="1" applyFont="1" applyBorder="1"/>
    <xf numFmtId="0" fontId="6" fillId="0" borderId="9" xfId="3" applyFont="1" applyBorder="1"/>
    <xf numFmtId="9" fontId="6" fillId="0" borderId="0" xfId="3" applyNumberFormat="1" applyFont="1"/>
    <xf numFmtId="164" fontId="6" fillId="0" borderId="10" xfId="3" applyNumberFormat="1" applyFont="1" applyBorder="1"/>
    <xf numFmtId="165" fontId="6" fillId="0" borderId="0" xfId="1" applyNumberFormat="1" applyFont="1" applyFill="1" applyBorder="1"/>
    <xf numFmtId="164" fontId="6" fillId="0" borderId="0" xfId="1" applyFont="1" applyFill="1" applyBorder="1"/>
    <xf numFmtId="0" fontId="6" fillId="0" borderId="11" xfId="3" applyFont="1" applyBorder="1" applyProtection="1">
      <protection locked="0"/>
    </xf>
    <xf numFmtId="165" fontId="6" fillId="0" borderId="11" xfId="1" applyNumberFormat="1" applyFont="1" applyFill="1" applyBorder="1" applyProtection="1">
      <protection locked="0"/>
    </xf>
    <xf numFmtId="164" fontId="6" fillId="0" borderId="11" xfId="1" applyFont="1" applyFill="1" applyBorder="1"/>
    <xf numFmtId="0" fontId="6" fillId="0" borderId="12" xfId="3" applyFont="1" applyBorder="1"/>
    <xf numFmtId="0" fontId="6" fillId="0" borderId="13" xfId="3" applyFont="1" applyBorder="1"/>
    <xf numFmtId="164" fontId="6" fillId="0" borderId="14" xfId="3" applyNumberFormat="1" applyFont="1" applyBorder="1"/>
    <xf numFmtId="0" fontId="3" fillId="0" borderId="0" xfId="0" applyFont="1"/>
    <xf numFmtId="0" fontId="3" fillId="0" borderId="15" xfId="3" applyFont="1" applyBorder="1"/>
    <xf numFmtId="0" fontId="3" fillId="0" borderId="5" xfId="3" applyFont="1" applyBorder="1"/>
    <xf numFmtId="164" fontId="3" fillId="0" borderId="5" xfId="3" applyNumberFormat="1" applyFont="1" applyBorder="1"/>
    <xf numFmtId="164" fontId="3" fillId="0" borderId="16" xfId="1" applyFont="1" applyFill="1" applyBorder="1"/>
    <xf numFmtId="164" fontId="6" fillId="0" borderId="0" xfId="3" applyNumberFormat="1" applyFont="1"/>
    <xf numFmtId="0" fontId="6" fillId="0" borderId="15" xfId="3" applyFont="1" applyBorder="1"/>
    <xf numFmtId="0" fontId="6" fillId="0" borderId="5" xfId="3" applyFont="1" applyBorder="1"/>
    <xf numFmtId="164" fontId="6" fillId="3" borderId="5" xfId="1" applyFont="1" applyFill="1" applyBorder="1" applyProtection="1">
      <protection locked="0"/>
    </xf>
    <xf numFmtId="0" fontId="6" fillId="0" borderId="17" xfId="3" applyFont="1" applyBorder="1"/>
    <xf numFmtId="0" fontId="6" fillId="0" borderId="2" xfId="3" applyFont="1" applyBorder="1"/>
    <xf numFmtId="165" fontId="7" fillId="3" borderId="5" xfId="1" applyNumberFormat="1" applyFont="1" applyFill="1" applyBorder="1" applyProtection="1">
      <protection locked="0"/>
    </xf>
    <xf numFmtId="9" fontId="6" fillId="3" borderId="5" xfId="2" applyFont="1" applyFill="1" applyBorder="1" applyProtection="1">
      <protection locked="0"/>
    </xf>
    <xf numFmtId="0" fontId="8" fillId="0" borderId="5" xfId="3" applyFont="1" applyBorder="1" applyAlignment="1">
      <alignment horizontal="center"/>
    </xf>
    <xf numFmtId="0" fontId="3" fillId="0" borderId="5" xfId="3" applyFont="1" applyBorder="1" applyAlignment="1">
      <alignment horizontal="center"/>
    </xf>
    <xf numFmtId="165" fontId="6" fillId="0" borderId="5" xfId="3" applyNumberFormat="1" applyFont="1" applyBorder="1" applyAlignment="1" applyProtection="1">
      <alignment horizontal="center"/>
      <protection locked="0"/>
    </xf>
    <xf numFmtId="165" fontId="6" fillId="0" borderId="5" xfId="3" applyNumberFormat="1" applyFont="1" applyBorder="1" applyAlignment="1">
      <alignment horizontal="center"/>
    </xf>
    <xf numFmtId="164" fontId="6" fillId="0" borderId="5" xfId="3" applyNumberFormat="1" applyFont="1" applyBorder="1" applyAlignment="1">
      <alignment horizontal="center"/>
    </xf>
    <xf numFmtId="10" fontId="6" fillId="0" borderId="5" xfId="3" applyNumberFormat="1" applyFont="1" applyBorder="1" applyAlignment="1">
      <alignment horizontal="left"/>
    </xf>
    <xf numFmtId="0" fontId="6" fillId="0" borderId="5" xfId="3" applyFont="1" applyBorder="1" applyAlignment="1">
      <alignment horizontal="center"/>
    </xf>
    <xf numFmtId="10" fontId="6" fillId="0" borderId="5" xfId="3" applyNumberFormat="1" applyFont="1" applyBorder="1" applyAlignment="1">
      <alignment horizontal="center"/>
    </xf>
    <xf numFmtId="164" fontId="3" fillId="0" borderId="5" xfId="1" applyFont="1" applyFill="1" applyBorder="1"/>
    <xf numFmtId="10" fontId="6" fillId="0" borderId="5" xfId="3" applyNumberFormat="1" applyFont="1" applyBorder="1" applyAlignment="1">
      <alignment horizontal="right"/>
    </xf>
    <xf numFmtId="167" fontId="6" fillId="0" borderId="5" xfId="3" applyNumberFormat="1" applyFont="1" applyBorder="1" applyAlignment="1">
      <alignment horizontal="center"/>
    </xf>
    <xf numFmtId="165" fontId="5" fillId="0" borderId="5" xfId="1" applyNumberFormat="1" applyFont="1" applyFill="1" applyBorder="1" applyAlignment="1" applyProtection="1">
      <alignment horizontal="right"/>
      <protection locked="0"/>
    </xf>
    <xf numFmtId="0" fontId="6" fillId="0" borderId="5" xfId="3" applyFont="1" applyBorder="1" applyAlignment="1">
      <alignment horizontal="right"/>
    </xf>
    <xf numFmtId="165" fontId="9" fillId="2" borderId="5" xfId="1" applyNumberFormat="1" applyFont="1" applyFill="1" applyBorder="1"/>
    <xf numFmtId="168" fontId="10" fillId="2" borderId="5" xfId="3" applyNumberFormat="1" applyFont="1" applyFill="1" applyBorder="1"/>
    <xf numFmtId="0" fontId="10" fillId="2" borderId="5" xfId="3" applyFont="1" applyFill="1" applyBorder="1"/>
    <xf numFmtId="0" fontId="6" fillId="4" borderId="0" xfId="3" applyFont="1" applyFill="1"/>
    <xf numFmtId="16" fontId="6" fillId="0" borderId="0" xfId="3" quotePrefix="1" applyNumberFormat="1" applyFont="1"/>
    <xf numFmtId="0" fontId="11" fillId="0" borderId="0" xfId="3" applyFont="1"/>
    <xf numFmtId="0" fontId="1" fillId="0" borderId="0" xfId="3"/>
    <xf numFmtId="0" fontId="12" fillId="0" borderId="18" xfId="3" applyFont="1" applyBorder="1"/>
    <xf numFmtId="0" fontId="12" fillId="0" borderId="19" xfId="3" applyFont="1" applyBorder="1"/>
    <xf numFmtId="0" fontId="12" fillId="0" borderId="18" xfId="3" applyFont="1" applyBorder="1" applyAlignment="1">
      <alignment horizontal="right"/>
    </xf>
    <xf numFmtId="169" fontId="12" fillId="0" borderId="20" xfId="2" applyNumberFormat="1" applyFont="1" applyFill="1" applyBorder="1" applyAlignment="1" applyProtection="1">
      <alignment horizontal="right"/>
      <protection locked="0"/>
    </xf>
    <xf numFmtId="0" fontId="14" fillId="0" borderId="0" xfId="3" applyFont="1"/>
    <xf numFmtId="0" fontId="12" fillId="0" borderId="0" xfId="3" applyFont="1"/>
    <xf numFmtId="166" fontId="13" fillId="0" borderId="0" xfId="3" applyNumberFormat="1" applyFont="1"/>
    <xf numFmtId="0" fontId="16" fillId="0" borderId="18" xfId="0" applyFont="1" applyBorder="1" applyAlignment="1">
      <alignment horizontal="center" vertical="center" wrapText="1"/>
    </xf>
    <xf numFmtId="0" fontId="15" fillId="0" borderId="19" xfId="3" applyFont="1" applyBorder="1"/>
    <xf numFmtId="0" fontId="15" fillId="0" borderId="20" xfId="3" applyFont="1" applyBorder="1"/>
    <xf numFmtId="0" fontId="15" fillId="0" borderId="0" xfId="3" applyFont="1"/>
    <xf numFmtId="0" fontId="17" fillId="0" borderId="0" xfId="0" applyFont="1"/>
    <xf numFmtId="0" fontId="13" fillId="5" borderId="21" xfId="3" applyFont="1" applyFill="1" applyBorder="1" applyAlignment="1">
      <alignment horizontal="center" vertical="center"/>
    </xf>
    <xf numFmtId="0" fontId="13" fillId="5" borderId="22" xfId="3" applyFont="1" applyFill="1" applyBorder="1" applyAlignment="1">
      <alignment horizontal="center" vertical="center"/>
    </xf>
    <xf numFmtId="0" fontId="13" fillId="5" borderId="23" xfId="3" applyFont="1" applyFill="1" applyBorder="1" applyAlignment="1">
      <alignment horizontal="center" vertical="center" wrapText="1"/>
    </xf>
    <xf numFmtId="165" fontId="13" fillId="5" borderId="23" xfId="1" applyNumberFormat="1" applyFont="1" applyFill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13" fillId="5" borderId="24" xfId="3" applyFont="1" applyFill="1" applyBorder="1" applyAlignment="1">
      <alignment horizontal="center" vertical="center"/>
    </xf>
    <xf numFmtId="0" fontId="13" fillId="5" borderId="25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5" borderId="26" xfId="3" applyFont="1" applyFill="1" applyBorder="1" applyAlignment="1">
      <alignment horizontal="center" vertical="center"/>
    </xf>
    <xf numFmtId="0" fontId="19" fillId="5" borderId="27" xfId="3" applyFont="1" applyFill="1" applyBorder="1" applyAlignment="1">
      <alignment horizontal="center" vertical="center"/>
    </xf>
    <xf numFmtId="0" fontId="19" fillId="6" borderId="28" xfId="3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70" fontId="1" fillId="0" borderId="29" xfId="3" applyNumberFormat="1" applyBorder="1" applyAlignment="1" applyProtection="1">
      <alignment horizontal="center"/>
      <protection locked="0"/>
    </xf>
    <xf numFmtId="171" fontId="1" fillId="0" borderId="29" xfId="3" applyNumberFormat="1" applyBorder="1" applyAlignment="1">
      <alignment horizontal="center"/>
    </xf>
    <xf numFmtId="165" fontId="20" fillId="0" borderId="29" xfId="1" applyNumberFormat="1" applyFont="1" applyFill="1" applyBorder="1"/>
    <xf numFmtId="165" fontId="20" fillId="0" borderId="29" xfId="1" applyNumberFormat="1" applyFont="1" applyBorder="1" applyAlignment="1">
      <alignment horizontal="center"/>
    </xf>
    <xf numFmtId="0" fontId="20" fillId="0" borderId="29" xfId="3" applyFont="1" applyBorder="1" applyAlignment="1">
      <alignment horizontal="center"/>
    </xf>
    <xf numFmtId="3" fontId="20" fillId="0" borderId="29" xfId="3" applyNumberFormat="1" applyFont="1" applyBorder="1" applyAlignment="1">
      <alignment horizontal="center"/>
    </xf>
    <xf numFmtId="3" fontId="1" fillId="0" borderId="30" xfId="3" applyNumberFormat="1" applyBorder="1" applyAlignment="1">
      <alignment horizontal="center"/>
    </xf>
    <xf numFmtId="169" fontId="20" fillId="7" borderId="29" xfId="2" applyNumberFormat="1" applyFont="1" applyFill="1" applyBorder="1" applyAlignment="1">
      <alignment horizontal="center"/>
    </xf>
    <xf numFmtId="169" fontId="20" fillId="7" borderId="31" xfId="2" applyNumberFormat="1" applyFont="1" applyFill="1" applyBorder="1" applyAlignment="1">
      <alignment horizontal="center"/>
    </xf>
    <xf numFmtId="169" fontId="0" fillId="0" borderId="0" xfId="0" applyNumberFormat="1"/>
    <xf numFmtId="170" fontId="1" fillId="0" borderId="3" xfId="3" applyNumberFormat="1" applyBorder="1" applyAlignment="1">
      <alignment horizontal="center"/>
    </xf>
    <xf numFmtId="3" fontId="20" fillId="0" borderId="3" xfId="3" applyNumberFormat="1" applyFont="1" applyBorder="1" applyAlignment="1">
      <alignment horizontal="center"/>
    </xf>
    <xf numFmtId="3" fontId="21" fillId="2" borderId="3" xfId="3" applyNumberFormat="1" applyFont="1" applyFill="1" applyBorder="1" applyAlignment="1">
      <alignment horizontal="center"/>
    </xf>
    <xf numFmtId="3" fontId="21" fillId="2" borderId="32" xfId="3" applyNumberFormat="1" applyFont="1" applyFill="1" applyBorder="1" applyAlignment="1">
      <alignment horizontal="center"/>
    </xf>
    <xf numFmtId="4" fontId="21" fillId="2" borderId="32" xfId="3" applyNumberFormat="1" applyFont="1" applyFill="1" applyBorder="1" applyAlignment="1">
      <alignment horizontal="center"/>
    </xf>
    <xf numFmtId="2" fontId="21" fillId="2" borderId="33" xfId="3" applyNumberFormat="1" applyFont="1" applyFill="1" applyBorder="1" applyAlignment="1">
      <alignment horizontal="center"/>
    </xf>
    <xf numFmtId="0" fontId="4" fillId="8" borderId="3" xfId="0" applyFont="1" applyFill="1" applyBorder="1" applyAlignment="1" applyProtection="1">
      <alignment horizontal="center"/>
      <protection locked="0"/>
    </xf>
    <xf numFmtId="3" fontId="4" fillId="8" borderId="3" xfId="0" applyNumberFormat="1" applyFont="1" applyFill="1" applyBorder="1" applyAlignment="1" applyProtection="1">
      <alignment horizontal="center" vertical="center"/>
      <protection locked="0"/>
    </xf>
    <xf numFmtId="3" fontId="4" fillId="8" borderId="32" xfId="0" applyNumberFormat="1" applyFont="1" applyFill="1" applyBorder="1" applyAlignment="1" applyProtection="1">
      <alignment horizontal="center" vertical="center"/>
      <protection locked="0"/>
    </xf>
    <xf numFmtId="172" fontId="22" fillId="0" borderId="3" xfId="0" applyNumberFormat="1" applyFont="1" applyBorder="1" applyAlignment="1">
      <alignment horizontal="center"/>
    </xf>
    <xf numFmtId="0" fontId="20" fillId="9" borderId="29" xfId="1" applyNumberFormat="1" applyFont="1" applyFill="1" applyBorder="1" applyAlignment="1" applyProtection="1">
      <alignment horizontal="center"/>
      <protection locked="0"/>
    </xf>
    <xf numFmtId="3" fontId="20" fillId="9" borderId="3" xfId="3" applyNumberFormat="1" applyFont="1" applyFill="1" applyBorder="1" applyAlignment="1" applyProtection="1">
      <alignment horizontal="center"/>
      <protection locked="0"/>
    </xf>
    <xf numFmtId="1" fontId="20" fillId="9" borderId="29" xfId="3" applyNumberFormat="1" applyFont="1" applyFill="1" applyBorder="1" applyAlignment="1" applyProtection="1">
      <alignment horizontal="center"/>
      <protection locked="0"/>
    </xf>
    <xf numFmtId="0" fontId="15" fillId="9" borderId="19" xfId="3" applyFont="1" applyFill="1" applyBorder="1" applyAlignment="1" applyProtection="1">
      <alignment horizontal="center"/>
      <protection locked="0"/>
    </xf>
    <xf numFmtId="0" fontId="12" fillId="9" borderId="20" xfId="0" applyFont="1" applyFill="1" applyBorder="1" applyAlignment="1" applyProtection="1">
      <alignment horizontal="center"/>
      <protection locked="0"/>
    </xf>
    <xf numFmtId="0" fontId="2" fillId="2" borderId="0" xfId="3" applyFont="1" applyFill="1" applyAlignment="1">
      <alignment horizontal="left" vertical="center"/>
    </xf>
    <xf numFmtId="0" fontId="11" fillId="0" borderId="0" xfId="3" applyFont="1" applyAlignment="1">
      <alignment horizontal="center"/>
    </xf>
    <xf numFmtId="0" fontId="15" fillId="0" borderId="18" xfId="3" applyFont="1" applyBorder="1" applyAlignment="1">
      <alignment horizontal="right"/>
    </xf>
    <xf numFmtId="0" fontId="15" fillId="0" borderId="19" xfId="3" applyFont="1" applyBorder="1" applyAlignment="1">
      <alignment horizontal="right"/>
    </xf>
    <xf numFmtId="0" fontId="21" fillId="2" borderId="18" xfId="3" applyFont="1" applyFill="1" applyBorder="1" applyAlignment="1">
      <alignment horizontal="center"/>
    </xf>
    <xf numFmtId="0" fontId="21" fillId="2" borderId="20" xfId="3" applyFont="1" applyFill="1" applyBorder="1" applyAlignment="1">
      <alignment horizontal="center"/>
    </xf>
    <xf numFmtId="165" fontId="5" fillId="3" borderId="1" xfId="1" applyNumberFormat="1" applyFont="1" applyFill="1" applyBorder="1" applyAlignment="1" applyProtection="1">
      <alignment horizontal="center" vertical="center"/>
      <protection locked="0"/>
    </xf>
    <xf numFmtId="165" fontId="5" fillId="3" borderId="2" xfId="1" applyNumberFormat="1" applyFont="1" applyFill="1" applyBorder="1" applyAlignment="1" applyProtection="1">
      <alignment horizontal="center" vertical="center"/>
      <protection locked="0"/>
    </xf>
    <xf numFmtId="0" fontId="6" fillId="0" borderId="1" xfId="3" applyFont="1" applyBorder="1" applyAlignment="1">
      <alignment horizontal="left"/>
    </xf>
    <xf numFmtId="0" fontId="6" fillId="0" borderId="15" xfId="3" applyFont="1" applyBorder="1" applyAlignment="1">
      <alignment horizontal="left"/>
    </xf>
    <xf numFmtId="0" fontId="6" fillId="0" borderId="2" xfId="3" applyFont="1" applyBorder="1" applyAlignment="1">
      <alignment horizontal="left"/>
    </xf>
    <xf numFmtId="0" fontId="10" fillId="2" borderId="1" xfId="3" applyFont="1" applyFill="1" applyBorder="1" applyAlignment="1">
      <alignment horizontal="right"/>
    </xf>
    <xf numFmtId="0" fontId="10" fillId="2" borderId="2" xfId="3" applyFont="1" applyFill="1" applyBorder="1" applyAlignment="1">
      <alignment horizontal="right"/>
    </xf>
  </cellXfs>
  <cellStyles count="4">
    <cellStyle name="Normal_New Labour Cost" xfId="3" xr:uid="{00000000-0005-0000-0000-000002000000}"/>
    <cellStyle name="เปอร์เซ็นต์" xfId="2" builtinId="5"/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48"/>
  <sheetViews>
    <sheetView showGridLines="0" workbookViewId="0">
      <pane ySplit="3" topLeftCell="A16" activePane="bottomLeft" state="frozen"/>
      <selection activeCell="I1" sqref="I1:J1"/>
      <selection pane="bottomLeft" activeCell="K30" sqref="K30"/>
    </sheetView>
  </sheetViews>
  <sheetFormatPr defaultColWidth="9.140625" defaultRowHeight="15" x14ac:dyDescent="0.2"/>
  <cols>
    <col min="1" max="4" width="9.140625" style="2"/>
    <col min="5" max="5" width="16.5703125" style="2" customWidth="1"/>
    <col min="6" max="6" width="13.42578125" style="2" customWidth="1"/>
    <col min="7" max="7" width="10.5703125" style="2" customWidth="1"/>
    <col min="8" max="8" width="16" style="2" customWidth="1"/>
    <col min="9" max="9" width="9.140625" style="2"/>
    <col min="10" max="10" width="22.140625" style="2" bestFit="1" customWidth="1"/>
    <col min="11" max="11" width="14.140625" style="2" customWidth="1"/>
    <col min="12" max="12" width="12.42578125" style="2" bestFit="1" customWidth="1"/>
    <col min="13" max="13" width="15.42578125" style="2" customWidth="1"/>
    <col min="14" max="260" width="9.140625" style="2"/>
    <col min="261" max="261" width="16.5703125" style="2" customWidth="1"/>
    <col min="262" max="262" width="13.42578125" style="2" customWidth="1"/>
    <col min="263" max="263" width="10.5703125" style="2" customWidth="1"/>
    <col min="264" max="264" width="16" style="2" customWidth="1"/>
    <col min="265" max="265" width="9.140625" style="2"/>
    <col min="266" max="266" width="22.140625" style="2" bestFit="1" customWidth="1"/>
    <col min="267" max="267" width="14.140625" style="2" customWidth="1"/>
    <col min="268" max="268" width="12.42578125" style="2" bestFit="1" customWidth="1"/>
    <col min="269" max="269" width="15.42578125" style="2" customWidth="1"/>
    <col min="270" max="516" width="9.140625" style="2"/>
    <col min="517" max="517" width="16.5703125" style="2" customWidth="1"/>
    <col min="518" max="518" width="13.42578125" style="2" customWidth="1"/>
    <col min="519" max="519" width="10.5703125" style="2" customWidth="1"/>
    <col min="520" max="520" width="16" style="2" customWidth="1"/>
    <col min="521" max="521" width="9.140625" style="2"/>
    <col min="522" max="522" width="22.140625" style="2" bestFit="1" customWidth="1"/>
    <col min="523" max="523" width="14.140625" style="2" customWidth="1"/>
    <col min="524" max="524" width="12.42578125" style="2" bestFit="1" customWidth="1"/>
    <col min="525" max="525" width="15.42578125" style="2" customWidth="1"/>
    <col min="526" max="772" width="9.140625" style="2"/>
    <col min="773" max="773" width="16.5703125" style="2" customWidth="1"/>
    <col min="774" max="774" width="13.42578125" style="2" customWidth="1"/>
    <col min="775" max="775" width="10.5703125" style="2" customWidth="1"/>
    <col min="776" max="776" width="16" style="2" customWidth="1"/>
    <col min="777" max="777" width="9.140625" style="2"/>
    <col min="778" max="778" width="22.140625" style="2" bestFit="1" customWidth="1"/>
    <col min="779" max="779" width="14.140625" style="2" customWidth="1"/>
    <col min="780" max="780" width="12.42578125" style="2" bestFit="1" customWidth="1"/>
    <col min="781" max="781" width="15.42578125" style="2" customWidth="1"/>
    <col min="782" max="1028" width="9.140625" style="2"/>
    <col min="1029" max="1029" width="16.5703125" style="2" customWidth="1"/>
    <col min="1030" max="1030" width="13.42578125" style="2" customWidth="1"/>
    <col min="1031" max="1031" width="10.5703125" style="2" customWidth="1"/>
    <col min="1032" max="1032" width="16" style="2" customWidth="1"/>
    <col min="1033" max="1033" width="9.140625" style="2"/>
    <col min="1034" max="1034" width="22.140625" style="2" bestFit="1" customWidth="1"/>
    <col min="1035" max="1035" width="14.140625" style="2" customWidth="1"/>
    <col min="1036" max="1036" width="12.42578125" style="2" bestFit="1" customWidth="1"/>
    <col min="1037" max="1037" width="15.42578125" style="2" customWidth="1"/>
    <col min="1038" max="1284" width="9.140625" style="2"/>
    <col min="1285" max="1285" width="16.5703125" style="2" customWidth="1"/>
    <col min="1286" max="1286" width="13.42578125" style="2" customWidth="1"/>
    <col min="1287" max="1287" width="10.5703125" style="2" customWidth="1"/>
    <col min="1288" max="1288" width="16" style="2" customWidth="1"/>
    <col min="1289" max="1289" width="9.140625" style="2"/>
    <col min="1290" max="1290" width="22.140625" style="2" bestFit="1" customWidth="1"/>
    <col min="1291" max="1291" width="14.140625" style="2" customWidth="1"/>
    <col min="1292" max="1292" width="12.42578125" style="2" bestFit="1" customWidth="1"/>
    <col min="1293" max="1293" width="15.42578125" style="2" customWidth="1"/>
    <col min="1294" max="1540" width="9.140625" style="2"/>
    <col min="1541" max="1541" width="16.5703125" style="2" customWidth="1"/>
    <col min="1542" max="1542" width="13.42578125" style="2" customWidth="1"/>
    <col min="1543" max="1543" width="10.5703125" style="2" customWidth="1"/>
    <col min="1544" max="1544" width="16" style="2" customWidth="1"/>
    <col min="1545" max="1545" width="9.140625" style="2"/>
    <col min="1546" max="1546" width="22.140625" style="2" bestFit="1" customWidth="1"/>
    <col min="1547" max="1547" width="14.140625" style="2" customWidth="1"/>
    <col min="1548" max="1548" width="12.42578125" style="2" bestFit="1" customWidth="1"/>
    <col min="1549" max="1549" width="15.42578125" style="2" customWidth="1"/>
    <col min="1550" max="1796" width="9.140625" style="2"/>
    <col min="1797" max="1797" width="16.5703125" style="2" customWidth="1"/>
    <col min="1798" max="1798" width="13.42578125" style="2" customWidth="1"/>
    <col min="1799" max="1799" width="10.5703125" style="2" customWidth="1"/>
    <col min="1800" max="1800" width="16" style="2" customWidth="1"/>
    <col min="1801" max="1801" width="9.140625" style="2"/>
    <col min="1802" max="1802" width="22.140625" style="2" bestFit="1" customWidth="1"/>
    <col min="1803" max="1803" width="14.140625" style="2" customWidth="1"/>
    <col min="1804" max="1804" width="12.42578125" style="2" bestFit="1" customWidth="1"/>
    <col min="1805" max="1805" width="15.42578125" style="2" customWidth="1"/>
    <col min="1806" max="2052" width="9.140625" style="2"/>
    <col min="2053" max="2053" width="16.5703125" style="2" customWidth="1"/>
    <col min="2054" max="2054" width="13.42578125" style="2" customWidth="1"/>
    <col min="2055" max="2055" width="10.5703125" style="2" customWidth="1"/>
    <col min="2056" max="2056" width="16" style="2" customWidth="1"/>
    <col min="2057" max="2057" width="9.140625" style="2"/>
    <col min="2058" max="2058" width="22.140625" style="2" bestFit="1" customWidth="1"/>
    <col min="2059" max="2059" width="14.140625" style="2" customWidth="1"/>
    <col min="2060" max="2060" width="12.42578125" style="2" bestFit="1" customWidth="1"/>
    <col min="2061" max="2061" width="15.42578125" style="2" customWidth="1"/>
    <col min="2062" max="2308" width="9.140625" style="2"/>
    <col min="2309" max="2309" width="16.5703125" style="2" customWidth="1"/>
    <col min="2310" max="2310" width="13.42578125" style="2" customWidth="1"/>
    <col min="2311" max="2311" width="10.5703125" style="2" customWidth="1"/>
    <col min="2312" max="2312" width="16" style="2" customWidth="1"/>
    <col min="2313" max="2313" width="9.140625" style="2"/>
    <col min="2314" max="2314" width="22.140625" style="2" bestFit="1" customWidth="1"/>
    <col min="2315" max="2315" width="14.140625" style="2" customWidth="1"/>
    <col min="2316" max="2316" width="12.42578125" style="2" bestFit="1" customWidth="1"/>
    <col min="2317" max="2317" width="15.42578125" style="2" customWidth="1"/>
    <col min="2318" max="2564" width="9.140625" style="2"/>
    <col min="2565" max="2565" width="16.5703125" style="2" customWidth="1"/>
    <col min="2566" max="2566" width="13.42578125" style="2" customWidth="1"/>
    <col min="2567" max="2567" width="10.5703125" style="2" customWidth="1"/>
    <col min="2568" max="2568" width="16" style="2" customWidth="1"/>
    <col min="2569" max="2569" width="9.140625" style="2"/>
    <col min="2570" max="2570" width="22.140625" style="2" bestFit="1" customWidth="1"/>
    <col min="2571" max="2571" width="14.140625" style="2" customWidth="1"/>
    <col min="2572" max="2572" width="12.42578125" style="2" bestFit="1" customWidth="1"/>
    <col min="2573" max="2573" width="15.42578125" style="2" customWidth="1"/>
    <col min="2574" max="2820" width="9.140625" style="2"/>
    <col min="2821" max="2821" width="16.5703125" style="2" customWidth="1"/>
    <col min="2822" max="2822" width="13.42578125" style="2" customWidth="1"/>
    <col min="2823" max="2823" width="10.5703125" style="2" customWidth="1"/>
    <col min="2824" max="2824" width="16" style="2" customWidth="1"/>
    <col min="2825" max="2825" width="9.140625" style="2"/>
    <col min="2826" max="2826" width="22.140625" style="2" bestFit="1" customWidth="1"/>
    <col min="2827" max="2827" width="14.140625" style="2" customWidth="1"/>
    <col min="2828" max="2828" width="12.42578125" style="2" bestFit="1" customWidth="1"/>
    <col min="2829" max="2829" width="15.42578125" style="2" customWidth="1"/>
    <col min="2830" max="3076" width="9.140625" style="2"/>
    <col min="3077" max="3077" width="16.5703125" style="2" customWidth="1"/>
    <col min="3078" max="3078" width="13.42578125" style="2" customWidth="1"/>
    <col min="3079" max="3079" width="10.5703125" style="2" customWidth="1"/>
    <col min="3080" max="3080" width="16" style="2" customWidth="1"/>
    <col min="3081" max="3081" width="9.140625" style="2"/>
    <col min="3082" max="3082" width="22.140625" style="2" bestFit="1" customWidth="1"/>
    <col min="3083" max="3083" width="14.140625" style="2" customWidth="1"/>
    <col min="3084" max="3084" width="12.42578125" style="2" bestFit="1" customWidth="1"/>
    <col min="3085" max="3085" width="15.42578125" style="2" customWidth="1"/>
    <col min="3086" max="3332" width="9.140625" style="2"/>
    <col min="3333" max="3333" width="16.5703125" style="2" customWidth="1"/>
    <col min="3334" max="3334" width="13.42578125" style="2" customWidth="1"/>
    <col min="3335" max="3335" width="10.5703125" style="2" customWidth="1"/>
    <col min="3336" max="3336" width="16" style="2" customWidth="1"/>
    <col min="3337" max="3337" width="9.140625" style="2"/>
    <col min="3338" max="3338" width="22.140625" style="2" bestFit="1" customWidth="1"/>
    <col min="3339" max="3339" width="14.140625" style="2" customWidth="1"/>
    <col min="3340" max="3340" width="12.42578125" style="2" bestFit="1" customWidth="1"/>
    <col min="3341" max="3341" width="15.42578125" style="2" customWidth="1"/>
    <col min="3342" max="3588" width="9.140625" style="2"/>
    <col min="3589" max="3589" width="16.5703125" style="2" customWidth="1"/>
    <col min="3590" max="3590" width="13.42578125" style="2" customWidth="1"/>
    <col min="3591" max="3591" width="10.5703125" style="2" customWidth="1"/>
    <col min="3592" max="3592" width="16" style="2" customWidth="1"/>
    <col min="3593" max="3593" width="9.140625" style="2"/>
    <col min="3594" max="3594" width="22.140625" style="2" bestFit="1" customWidth="1"/>
    <col min="3595" max="3595" width="14.140625" style="2" customWidth="1"/>
    <col min="3596" max="3596" width="12.42578125" style="2" bestFit="1" customWidth="1"/>
    <col min="3597" max="3597" width="15.42578125" style="2" customWidth="1"/>
    <col min="3598" max="3844" width="9.140625" style="2"/>
    <col min="3845" max="3845" width="16.5703125" style="2" customWidth="1"/>
    <col min="3846" max="3846" width="13.42578125" style="2" customWidth="1"/>
    <col min="3847" max="3847" width="10.5703125" style="2" customWidth="1"/>
    <col min="3848" max="3848" width="16" style="2" customWidth="1"/>
    <col min="3849" max="3849" width="9.140625" style="2"/>
    <col min="3850" max="3850" width="22.140625" style="2" bestFit="1" customWidth="1"/>
    <col min="3851" max="3851" width="14.140625" style="2" customWidth="1"/>
    <col min="3852" max="3852" width="12.42578125" style="2" bestFit="1" customWidth="1"/>
    <col min="3853" max="3853" width="15.42578125" style="2" customWidth="1"/>
    <col min="3854" max="4100" width="9.140625" style="2"/>
    <col min="4101" max="4101" width="16.5703125" style="2" customWidth="1"/>
    <col min="4102" max="4102" width="13.42578125" style="2" customWidth="1"/>
    <col min="4103" max="4103" width="10.5703125" style="2" customWidth="1"/>
    <col min="4104" max="4104" width="16" style="2" customWidth="1"/>
    <col min="4105" max="4105" width="9.140625" style="2"/>
    <col min="4106" max="4106" width="22.140625" style="2" bestFit="1" customWidth="1"/>
    <col min="4107" max="4107" width="14.140625" style="2" customWidth="1"/>
    <col min="4108" max="4108" width="12.42578125" style="2" bestFit="1" customWidth="1"/>
    <col min="4109" max="4109" width="15.42578125" style="2" customWidth="1"/>
    <col min="4110" max="4356" width="9.140625" style="2"/>
    <col min="4357" max="4357" width="16.5703125" style="2" customWidth="1"/>
    <col min="4358" max="4358" width="13.42578125" style="2" customWidth="1"/>
    <col min="4359" max="4359" width="10.5703125" style="2" customWidth="1"/>
    <col min="4360" max="4360" width="16" style="2" customWidth="1"/>
    <col min="4361" max="4361" width="9.140625" style="2"/>
    <col min="4362" max="4362" width="22.140625" style="2" bestFit="1" customWidth="1"/>
    <col min="4363" max="4363" width="14.140625" style="2" customWidth="1"/>
    <col min="4364" max="4364" width="12.42578125" style="2" bestFit="1" customWidth="1"/>
    <col min="4365" max="4365" width="15.42578125" style="2" customWidth="1"/>
    <col min="4366" max="4612" width="9.140625" style="2"/>
    <col min="4613" max="4613" width="16.5703125" style="2" customWidth="1"/>
    <col min="4614" max="4614" width="13.42578125" style="2" customWidth="1"/>
    <col min="4615" max="4615" width="10.5703125" style="2" customWidth="1"/>
    <col min="4616" max="4616" width="16" style="2" customWidth="1"/>
    <col min="4617" max="4617" width="9.140625" style="2"/>
    <col min="4618" max="4618" width="22.140625" style="2" bestFit="1" customWidth="1"/>
    <col min="4619" max="4619" width="14.140625" style="2" customWidth="1"/>
    <col min="4620" max="4620" width="12.42578125" style="2" bestFit="1" customWidth="1"/>
    <col min="4621" max="4621" width="15.42578125" style="2" customWidth="1"/>
    <col min="4622" max="4868" width="9.140625" style="2"/>
    <col min="4869" max="4869" width="16.5703125" style="2" customWidth="1"/>
    <col min="4870" max="4870" width="13.42578125" style="2" customWidth="1"/>
    <col min="4871" max="4871" width="10.5703125" style="2" customWidth="1"/>
    <col min="4872" max="4872" width="16" style="2" customWidth="1"/>
    <col min="4873" max="4873" width="9.140625" style="2"/>
    <col min="4874" max="4874" width="22.140625" style="2" bestFit="1" customWidth="1"/>
    <col min="4875" max="4875" width="14.140625" style="2" customWidth="1"/>
    <col min="4876" max="4876" width="12.42578125" style="2" bestFit="1" customWidth="1"/>
    <col min="4877" max="4877" width="15.42578125" style="2" customWidth="1"/>
    <col min="4878" max="5124" width="9.140625" style="2"/>
    <col min="5125" max="5125" width="16.5703125" style="2" customWidth="1"/>
    <col min="5126" max="5126" width="13.42578125" style="2" customWidth="1"/>
    <col min="5127" max="5127" width="10.5703125" style="2" customWidth="1"/>
    <col min="5128" max="5128" width="16" style="2" customWidth="1"/>
    <col min="5129" max="5129" width="9.140625" style="2"/>
    <col min="5130" max="5130" width="22.140625" style="2" bestFit="1" customWidth="1"/>
    <col min="5131" max="5131" width="14.140625" style="2" customWidth="1"/>
    <col min="5132" max="5132" width="12.42578125" style="2" bestFit="1" customWidth="1"/>
    <col min="5133" max="5133" width="15.42578125" style="2" customWidth="1"/>
    <col min="5134" max="5380" width="9.140625" style="2"/>
    <col min="5381" max="5381" width="16.5703125" style="2" customWidth="1"/>
    <col min="5382" max="5382" width="13.42578125" style="2" customWidth="1"/>
    <col min="5383" max="5383" width="10.5703125" style="2" customWidth="1"/>
    <col min="5384" max="5384" width="16" style="2" customWidth="1"/>
    <col min="5385" max="5385" width="9.140625" style="2"/>
    <col min="5386" max="5386" width="22.140625" style="2" bestFit="1" customWidth="1"/>
    <col min="5387" max="5387" width="14.140625" style="2" customWidth="1"/>
    <col min="5388" max="5388" width="12.42578125" style="2" bestFit="1" customWidth="1"/>
    <col min="5389" max="5389" width="15.42578125" style="2" customWidth="1"/>
    <col min="5390" max="5636" width="9.140625" style="2"/>
    <col min="5637" max="5637" width="16.5703125" style="2" customWidth="1"/>
    <col min="5638" max="5638" width="13.42578125" style="2" customWidth="1"/>
    <col min="5639" max="5639" width="10.5703125" style="2" customWidth="1"/>
    <col min="5640" max="5640" width="16" style="2" customWidth="1"/>
    <col min="5641" max="5641" width="9.140625" style="2"/>
    <col min="5642" max="5642" width="22.140625" style="2" bestFit="1" customWidth="1"/>
    <col min="5643" max="5643" width="14.140625" style="2" customWidth="1"/>
    <col min="5644" max="5644" width="12.42578125" style="2" bestFit="1" customWidth="1"/>
    <col min="5645" max="5645" width="15.42578125" style="2" customWidth="1"/>
    <col min="5646" max="5892" width="9.140625" style="2"/>
    <col min="5893" max="5893" width="16.5703125" style="2" customWidth="1"/>
    <col min="5894" max="5894" width="13.42578125" style="2" customWidth="1"/>
    <col min="5895" max="5895" width="10.5703125" style="2" customWidth="1"/>
    <col min="5896" max="5896" width="16" style="2" customWidth="1"/>
    <col min="5897" max="5897" width="9.140625" style="2"/>
    <col min="5898" max="5898" width="22.140625" style="2" bestFit="1" customWidth="1"/>
    <col min="5899" max="5899" width="14.140625" style="2" customWidth="1"/>
    <col min="5900" max="5900" width="12.42578125" style="2" bestFit="1" customWidth="1"/>
    <col min="5901" max="5901" width="15.42578125" style="2" customWidth="1"/>
    <col min="5902" max="6148" width="9.140625" style="2"/>
    <col min="6149" max="6149" width="16.5703125" style="2" customWidth="1"/>
    <col min="6150" max="6150" width="13.42578125" style="2" customWidth="1"/>
    <col min="6151" max="6151" width="10.5703125" style="2" customWidth="1"/>
    <col min="6152" max="6152" width="16" style="2" customWidth="1"/>
    <col min="6153" max="6153" width="9.140625" style="2"/>
    <col min="6154" max="6154" width="22.140625" style="2" bestFit="1" customWidth="1"/>
    <col min="6155" max="6155" width="14.140625" style="2" customWidth="1"/>
    <col min="6156" max="6156" width="12.42578125" style="2" bestFit="1" customWidth="1"/>
    <col min="6157" max="6157" width="15.42578125" style="2" customWidth="1"/>
    <col min="6158" max="6404" width="9.140625" style="2"/>
    <col min="6405" max="6405" width="16.5703125" style="2" customWidth="1"/>
    <col min="6406" max="6406" width="13.42578125" style="2" customWidth="1"/>
    <col min="6407" max="6407" width="10.5703125" style="2" customWidth="1"/>
    <col min="6408" max="6408" width="16" style="2" customWidth="1"/>
    <col min="6409" max="6409" width="9.140625" style="2"/>
    <col min="6410" max="6410" width="22.140625" style="2" bestFit="1" customWidth="1"/>
    <col min="6411" max="6411" width="14.140625" style="2" customWidth="1"/>
    <col min="6412" max="6412" width="12.42578125" style="2" bestFit="1" customWidth="1"/>
    <col min="6413" max="6413" width="15.42578125" style="2" customWidth="1"/>
    <col min="6414" max="6660" width="9.140625" style="2"/>
    <col min="6661" max="6661" width="16.5703125" style="2" customWidth="1"/>
    <col min="6662" max="6662" width="13.42578125" style="2" customWidth="1"/>
    <col min="6663" max="6663" width="10.5703125" style="2" customWidth="1"/>
    <col min="6664" max="6664" width="16" style="2" customWidth="1"/>
    <col min="6665" max="6665" width="9.140625" style="2"/>
    <col min="6666" max="6666" width="22.140625" style="2" bestFit="1" customWidth="1"/>
    <col min="6667" max="6667" width="14.140625" style="2" customWidth="1"/>
    <col min="6668" max="6668" width="12.42578125" style="2" bestFit="1" customWidth="1"/>
    <col min="6669" max="6669" width="15.42578125" style="2" customWidth="1"/>
    <col min="6670" max="6916" width="9.140625" style="2"/>
    <col min="6917" max="6917" width="16.5703125" style="2" customWidth="1"/>
    <col min="6918" max="6918" width="13.42578125" style="2" customWidth="1"/>
    <col min="6919" max="6919" width="10.5703125" style="2" customWidth="1"/>
    <col min="6920" max="6920" width="16" style="2" customWidth="1"/>
    <col min="6921" max="6921" width="9.140625" style="2"/>
    <col min="6922" max="6922" width="22.140625" style="2" bestFit="1" customWidth="1"/>
    <col min="6923" max="6923" width="14.140625" style="2" customWidth="1"/>
    <col min="6924" max="6924" width="12.42578125" style="2" bestFit="1" customWidth="1"/>
    <col min="6925" max="6925" width="15.42578125" style="2" customWidth="1"/>
    <col min="6926" max="7172" width="9.140625" style="2"/>
    <col min="7173" max="7173" width="16.5703125" style="2" customWidth="1"/>
    <col min="7174" max="7174" width="13.42578125" style="2" customWidth="1"/>
    <col min="7175" max="7175" width="10.5703125" style="2" customWidth="1"/>
    <col min="7176" max="7176" width="16" style="2" customWidth="1"/>
    <col min="7177" max="7177" width="9.140625" style="2"/>
    <col min="7178" max="7178" width="22.140625" style="2" bestFit="1" customWidth="1"/>
    <col min="7179" max="7179" width="14.140625" style="2" customWidth="1"/>
    <col min="7180" max="7180" width="12.42578125" style="2" bestFit="1" customWidth="1"/>
    <col min="7181" max="7181" width="15.42578125" style="2" customWidth="1"/>
    <col min="7182" max="7428" width="9.140625" style="2"/>
    <col min="7429" max="7429" width="16.5703125" style="2" customWidth="1"/>
    <col min="7430" max="7430" width="13.42578125" style="2" customWidth="1"/>
    <col min="7431" max="7431" width="10.5703125" style="2" customWidth="1"/>
    <col min="7432" max="7432" width="16" style="2" customWidth="1"/>
    <col min="7433" max="7433" width="9.140625" style="2"/>
    <col min="7434" max="7434" width="22.140625" style="2" bestFit="1" customWidth="1"/>
    <col min="7435" max="7435" width="14.140625" style="2" customWidth="1"/>
    <col min="7436" max="7436" width="12.42578125" style="2" bestFit="1" customWidth="1"/>
    <col min="7437" max="7437" width="15.42578125" style="2" customWidth="1"/>
    <col min="7438" max="7684" width="9.140625" style="2"/>
    <col min="7685" max="7685" width="16.5703125" style="2" customWidth="1"/>
    <col min="7686" max="7686" width="13.42578125" style="2" customWidth="1"/>
    <col min="7687" max="7687" width="10.5703125" style="2" customWidth="1"/>
    <col min="7688" max="7688" width="16" style="2" customWidth="1"/>
    <col min="7689" max="7689" width="9.140625" style="2"/>
    <col min="7690" max="7690" width="22.140625" style="2" bestFit="1" customWidth="1"/>
    <col min="7691" max="7691" width="14.140625" style="2" customWidth="1"/>
    <col min="7692" max="7692" width="12.42578125" style="2" bestFit="1" customWidth="1"/>
    <col min="7693" max="7693" width="15.42578125" style="2" customWidth="1"/>
    <col min="7694" max="7940" width="9.140625" style="2"/>
    <col min="7941" max="7941" width="16.5703125" style="2" customWidth="1"/>
    <col min="7942" max="7942" width="13.42578125" style="2" customWidth="1"/>
    <col min="7943" max="7943" width="10.5703125" style="2" customWidth="1"/>
    <col min="7944" max="7944" width="16" style="2" customWidth="1"/>
    <col min="7945" max="7945" width="9.140625" style="2"/>
    <col min="7946" max="7946" width="22.140625" style="2" bestFit="1" customWidth="1"/>
    <col min="7947" max="7947" width="14.140625" style="2" customWidth="1"/>
    <col min="7948" max="7948" width="12.42578125" style="2" bestFit="1" customWidth="1"/>
    <col min="7949" max="7949" width="15.42578125" style="2" customWidth="1"/>
    <col min="7950" max="8196" width="9.140625" style="2"/>
    <col min="8197" max="8197" width="16.5703125" style="2" customWidth="1"/>
    <col min="8198" max="8198" width="13.42578125" style="2" customWidth="1"/>
    <col min="8199" max="8199" width="10.5703125" style="2" customWidth="1"/>
    <col min="8200" max="8200" width="16" style="2" customWidth="1"/>
    <col min="8201" max="8201" width="9.140625" style="2"/>
    <col min="8202" max="8202" width="22.140625" style="2" bestFit="1" customWidth="1"/>
    <col min="8203" max="8203" width="14.140625" style="2" customWidth="1"/>
    <col min="8204" max="8204" width="12.42578125" style="2" bestFit="1" customWidth="1"/>
    <col min="8205" max="8205" width="15.42578125" style="2" customWidth="1"/>
    <col min="8206" max="8452" width="9.140625" style="2"/>
    <col min="8453" max="8453" width="16.5703125" style="2" customWidth="1"/>
    <col min="8454" max="8454" width="13.42578125" style="2" customWidth="1"/>
    <col min="8455" max="8455" width="10.5703125" style="2" customWidth="1"/>
    <col min="8456" max="8456" width="16" style="2" customWidth="1"/>
    <col min="8457" max="8457" width="9.140625" style="2"/>
    <col min="8458" max="8458" width="22.140625" style="2" bestFit="1" customWidth="1"/>
    <col min="8459" max="8459" width="14.140625" style="2" customWidth="1"/>
    <col min="8460" max="8460" width="12.42578125" style="2" bestFit="1" customWidth="1"/>
    <col min="8461" max="8461" width="15.42578125" style="2" customWidth="1"/>
    <col min="8462" max="8708" width="9.140625" style="2"/>
    <col min="8709" max="8709" width="16.5703125" style="2" customWidth="1"/>
    <col min="8710" max="8710" width="13.42578125" style="2" customWidth="1"/>
    <col min="8711" max="8711" width="10.5703125" style="2" customWidth="1"/>
    <col min="8712" max="8712" width="16" style="2" customWidth="1"/>
    <col min="8713" max="8713" width="9.140625" style="2"/>
    <col min="8714" max="8714" width="22.140625" style="2" bestFit="1" customWidth="1"/>
    <col min="8715" max="8715" width="14.140625" style="2" customWidth="1"/>
    <col min="8716" max="8716" width="12.42578125" style="2" bestFit="1" customWidth="1"/>
    <col min="8717" max="8717" width="15.42578125" style="2" customWidth="1"/>
    <col min="8718" max="8964" width="9.140625" style="2"/>
    <col min="8965" max="8965" width="16.5703125" style="2" customWidth="1"/>
    <col min="8966" max="8966" width="13.42578125" style="2" customWidth="1"/>
    <col min="8967" max="8967" width="10.5703125" style="2" customWidth="1"/>
    <col min="8968" max="8968" width="16" style="2" customWidth="1"/>
    <col min="8969" max="8969" width="9.140625" style="2"/>
    <col min="8970" max="8970" width="22.140625" style="2" bestFit="1" customWidth="1"/>
    <col min="8971" max="8971" width="14.140625" style="2" customWidth="1"/>
    <col min="8972" max="8972" width="12.42578125" style="2" bestFit="1" customWidth="1"/>
    <col min="8973" max="8973" width="15.42578125" style="2" customWidth="1"/>
    <col min="8974" max="9220" width="9.140625" style="2"/>
    <col min="9221" max="9221" width="16.5703125" style="2" customWidth="1"/>
    <col min="9222" max="9222" width="13.42578125" style="2" customWidth="1"/>
    <col min="9223" max="9223" width="10.5703125" style="2" customWidth="1"/>
    <col min="9224" max="9224" width="16" style="2" customWidth="1"/>
    <col min="9225" max="9225" width="9.140625" style="2"/>
    <col min="9226" max="9226" width="22.140625" style="2" bestFit="1" customWidth="1"/>
    <col min="9227" max="9227" width="14.140625" style="2" customWidth="1"/>
    <col min="9228" max="9228" width="12.42578125" style="2" bestFit="1" customWidth="1"/>
    <col min="9229" max="9229" width="15.42578125" style="2" customWidth="1"/>
    <col min="9230" max="9476" width="9.140625" style="2"/>
    <col min="9477" max="9477" width="16.5703125" style="2" customWidth="1"/>
    <col min="9478" max="9478" width="13.42578125" style="2" customWidth="1"/>
    <col min="9479" max="9479" width="10.5703125" style="2" customWidth="1"/>
    <col min="9480" max="9480" width="16" style="2" customWidth="1"/>
    <col min="9481" max="9481" width="9.140625" style="2"/>
    <col min="9482" max="9482" width="22.140625" style="2" bestFit="1" customWidth="1"/>
    <col min="9483" max="9483" width="14.140625" style="2" customWidth="1"/>
    <col min="9484" max="9484" width="12.42578125" style="2" bestFit="1" customWidth="1"/>
    <col min="9485" max="9485" width="15.42578125" style="2" customWidth="1"/>
    <col min="9486" max="9732" width="9.140625" style="2"/>
    <col min="9733" max="9733" width="16.5703125" style="2" customWidth="1"/>
    <col min="9734" max="9734" width="13.42578125" style="2" customWidth="1"/>
    <col min="9735" max="9735" width="10.5703125" style="2" customWidth="1"/>
    <col min="9736" max="9736" width="16" style="2" customWidth="1"/>
    <col min="9737" max="9737" width="9.140625" style="2"/>
    <col min="9738" max="9738" width="22.140625" style="2" bestFit="1" customWidth="1"/>
    <col min="9739" max="9739" width="14.140625" style="2" customWidth="1"/>
    <col min="9740" max="9740" width="12.42578125" style="2" bestFit="1" customWidth="1"/>
    <col min="9741" max="9741" width="15.42578125" style="2" customWidth="1"/>
    <col min="9742" max="9988" width="9.140625" style="2"/>
    <col min="9989" max="9989" width="16.5703125" style="2" customWidth="1"/>
    <col min="9990" max="9990" width="13.42578125" style="2" customWidth="1"/>
    <col min="9991" max="9991" width="10.5703125" style="2" customWidth="1"/>
    <col min="9992" max="9992" width="16" style="2" customWidth="1"/>
    <col min="9993" max="9993" width="9.140625" style="2"/>
    <col min="9994" max="9994" width="22.140625" style="2" bestFit="1" customWidth="1"/>
    <col min="9995" max="9995" width="14.140625" style="2" customWidth="1"/>
    <col min="9996" max="9996" width="12.42578125" style="2" bestFit="1" customWidth="1"/>
    <col min="9997" max="9997" width="15.42578125" style="2" customWidth="1"/>
    <col min="9998" max="10244" width="9.140625" style="2"/>
    <col min="10245" max="10245" width="16.5703125" style="2" customWidth="1"/>
    <col min="10246" max="10246" width="13.42578125" style="2" customWidth="1"/>
    <col min="10247" max="10247" width="10.5703125" style="2" customWidth="1"/>
    <col min="10248" max="10248" width="16" style="2" customWidth="1"/>
    <col min="10249" max="10249" width="9.140625" style="2"/>
    <col min="10250" max="10250" width="22.140625" style="2" bestFit="1" customWidth="1"/>
    <col min="10251" max="10251" width="14.140625" style="2" customWidth="1"/>
    <col min="10252" max="10252" width="12.42578125" style="2" bestFit="1" customWidth="1"/>
    <col min="10253" max="10253" width="15.42578125" style="2" customWidth="1"/>
    <col min="10254" max="10500" width="9.140625" style="2"/>
    <col min="10501" max="10501" width="16.5703125" style="2" customWidth="1"/>
    <col min="10502" max="10502" width="13.42578125" style="2" customWidth="1"/>
    <col min="10503" max="10503" width="10.5703125" style="2" customWidth="1"/>
    <col min="10504" max="10504" width="16" style="2" customWidth="1"/>
    <col min="10505" max="10505" width="9.140625" style="2"/>
    <col min="10506" max="10506" width="22.140625" style="2" bestFit="1" customWidth="1"/>
    <col min="10507" max="10507" width="14.140625" style="2" customWidth="1"/>
    <col min="10508" max="10508" width="12.42578125" style="2" bestFit="1" customWidth="1"/>
    <col min="10509" max="10509" width="15.42578125" style="2" customWidth="1"/>
    <col min="10510" max="10756" width="9.140625" style="2"/>
    <col min="10757" max="10757" width="16.5703125" style="2" customWidth="1"/>
    <col min="10758" max="10758" width="13.42578125" style="2" customWidth="1"/>
    <col min="10759" max="10759" width="10.5703125" style="2" customWidth="1"/>
    <col min="10760" max="10760" width="16" style="2" customWidth="1"/>
    <col min="10761" max="10761" width="9.140625" style="2"/>
    <col min="10762" max="10762" width="22.140625" style="2" bestFit="1" customWidth="1"/>
    <col min="10763" max="10763" width="14.140625" style="2" customWidth="1"/>
    <col min="10764" max="10764" width="12.42578125" style="2" bestFit="1" customWidth="1"/>
    <col min="10765" max="10765" width="15.42578125" style="2" customWidth="1"/>
    <col min="10766" max="11012" width="9.140625" style="2"/>
    <col min="11013" max="11013" width="16.5703125" style="2" customWidth="1"/>
    <col min="11014" max="11014" width="13.42578125" style="2" customWidth="1"/>
    <col min="11015" max="11015" width="10.5703125" style="2" customWidth="1"/>
    <col min="11016" max="11016" width="16" style="2" customWidth="1"/>
    <col min="11017" max="11017" width="9.140625" style="2"/>
    <col min="11018" max="11018" width="22.140625" style="2" bestFit="1" customWidth="1"/>
    <col min="11019" max="11019" width="14.140625" style="2" customWidth="1"/>
    <col min="11020" max="11020" width="12.42578125" style="2" bestFit="1" customWidth="1"/>
    <col min="11021" max="11021" width="15.42578125" style="2" customWidth="1"/>
    <col min="11022" max="11268" width="9.140625" style="2"/>
    <col min="11269" max="11269" width="16.5703125" style="2" customWidth="1"/>
    <col min="11270" max="11270" width="13.42578125" style="2" customWidth="1"/>
    <col min="11271" max="11271" width="10.5703125" style="2" customWidth="1"/>
    <col min="11272" max="11272" width="16" style="2" customWidth="1"/>
    <col min="11273" max="11273" width="9.140625" style="2"/>
    <col min="11274" max="11274" width="22.140625" style="2" bestFit="1" customWidth="1"/>
    <col min="11275" max="11275" width="14.140625" style="2" customWidth="1"/>
    <col min="11276" max="11276" width="12.42578125" style="2" bestFit="1" customWidth="1"/>
    <col min="11277" max="11277" width="15.42578125" style="2" customWidth="1"/>
    <col min="11278" max="11524" width="9.140625" style="2"/>
    <col min="11525" max="11525" width="16.5703125" style="2" customWidth="1"/>
    <col min="11526" max="11526" width="13.42578125" style="2" customWidth="1"/>
    <col min="11527" max="11527" width="10.5703125" style="2" customWidth="1"/>
    <col min="11528" max="11528" width="16" style="2" customWidth="1"/>
    <col min="11529" max="11529" width="9.140625" style="2"/>
    <col min="11530" max="11530" width="22.140625" style="2" bestFit="1" customWidth="1"/>
    <col min="11531" max="11531" width="14.140625" style="2" customWidth="1"/>
    <col min="11532" max="11532" width="12.42578125" style="2" bestFit="1" customWidth="1"/>
    <col min="11533" max="11533" width="15.42578125" style="2" customWidth="1"/>
    <col min="11534" max="11780" width="9.140625" style="2"/>
    <col min="11781" max="11781" width="16.5703125" style="2" customWidth="1"/>
    <col min="11782" max="11782" width="13.42578125" style="2" customWidth="1"/>
    <col min="11783" max="11783" width="10.5703125" style="2" customWidth="1"/>
    <col min="11784" max="11784" width="16" style="2" customWidth="1"/>
    <col min="11785" max="11785" width="9.140625" style="2"/>
    <col min="11786" max="11786" width="22.140625" style="2" bestFit="1" customWidth="1"/>
    <col min="11787" max="11787" width="14.140625" style="2" customWidth="1"/>
    <col min="11788" max="11788" width="12.42578125" style="2" bestFit="1" customWidth="1"/>
    <col min="11789" max="11789" width="15.42578125" style="2" customWidth="1"/>
    <col min="11790" max="12036" width="9.140625" style="2"/>
    <col min="12037" max="12037" width="16.5703125" style="2" customWidth="1"/>
    <col min="12038" max="12038" width="13.42578125" style="2" customWidth="1"/>
    <col min="12039" max="12039" width="10.5703125" style="2" customWidth="1"/>
    <col min="12040" max="12040" width="16" style="2" customWidth="1"/>
    <col min="12041" max="12041" width="9.140625" style="2"/>
    <col min="12042" max="12042" width="22.140625" style="2" bestFit="1" customWidth="1"/>
    <col min="12043" max="12043" width="14.140625" style="2" customWidth="1"/>
    <col min="12044" max="12044" width="12.42578125" style="2" bestFit="1" customWidth="1"/>
    <col min="12045" max="12045" width="15.42578125" style="2" customWidth="1"/>
    <col min="12046" max="12292" width="9.140625" style="2"/>
    <col min="12293" max="12293" width="16.5703125" style="2" customWidth="1"/>
    <col min="12294" max="12294" width="13.42578125" style="2" customWidth="1"/>
    <col min="12295" max="12295" width="10.5703125" style="2" customWidth="1"/>
    <col min="12296" max="12296" width="16" style="2" customWidth="1"/>
    <col min="12297" max="12297" width="9.140625" style="2"/>
    <col min="12298" max="12298" width="22.140625" style="2" bestFit="1" customWidth="1"/>
    <col min="12299" max="12299" width="14.140625" style="2" customWidth="1"/>
    <col min="12300" max="12300" width="12.42578125" style="2" bestFit="1" customWidth="1"/>
    <col min="12301" max="12301" width="15.42578125" style="2" customWidth="1"/>
    <col min="12302" max="12548" width="9.140625" style="2"/>
    <col min="12549" max="12549" width="16.5703125" style="2" customWidth="1"/>
    <col min="12550" max="12550" width="13.42578125" style="2" customWidth="1"/>
    <col min="12551" max="12551" width="10.5703125" style="2" customWidth="1"/>
    <col min="12552" max="12552" width="16" style="2" customWidth="1"/>
    <col min="12553" max="12553" width="9.140625" style="2"/>
    <col min="12554" max="12554" width="22.140625" style="2" bestFit="1" customWidth="1"/>
    <col min="12555" max="12555" width="14.140625" style="2" customWidth="1"/>
    <col min="12556" max="12556" width="12.42578125" style="2" bestFit="1" customWidth="1"/>
    <col min="12557" max="12557" width="15.42578125" style="2" customWidth="1"/>
    <col min="12558" max="12804" width="9.140625" style="2"/>
    <col min="12805" max="12805" width="16.5703125" style="2" customWidth="1"/>
    <col min="12806" max="12806" width="13.42578125" style="2" customWidth="1"/>
    <col min="12807" max="12807" width="10.5703125" style="2" customWidth="1"/>
    <col min="12808" max="12808" width="16" style="2" customWidth="1"/>
    <col min="12809" max="12809" width="9.140625" style="2"/>
    <col min="12810" max="12810" width="22.140625" style="2" bestFit="1" customWidth="1"/>
    <col min="12811" max="12811" width="14.140625" style="2" customWidth="1"/>
    <col min="12812" max="12812" width="12.42578125" style="2" bestFit="1" customWidth="1"/>
    <col min="12813" max="12813" width="15.42578125" style="2" customWidth="1"/>
    <col min="12814" max="13060" width="9.140625" style="2"/>
    <col min="13061" max="13061" width="16.5703125" style="2" customWidth="1"/>
    <col min="13062" max="13062" width="13.42578125" style="2" customWidth="1"/>
    <col min="13063" max="13063" width="10.5703125" style="2" customWidth="1"/>
    <col min="13064" max="13064" width="16" style="2" customWidth="1"/>
    <col min="13065" max="13065" width="9.140625" style="2"/>
    <col min="13066" max="13066" width="22.140625" style="2" bestFit="1" customWidth="1"/>
    <col min="13067" max="13067" width="14.140625" style="2" customWidth="1"/>
    <col min="13068" max="13068" width="12.42578125" style="2" bestFit="1" customWidth="1"/>
    <col min="13069" max="13069" width="15.42578125" style="2" customWidth="1"/>
    <col min="13070" max="13316" width="9.140625" style="2"/>
    <col min="13317" max="13317" width="16.5703125" style="2" customWidth="1"/>
    <col min="13318" max="13318" width="13.42578125" style="2" customWidth="1"/>
    <col min="13319" max="13319" width="10.5703125" style="2" customWidth="1"/>
    <col min="13320" max="13320" width="16" style="2" customWidth="1"/>
    <col min="13321" max="13321" width="9.140625" style="2"/>
    <col min="13322" max="13322" width="22.140625" style="2" bestFit="1" customWidth="1"/>
    <col min="13323" max="13323" width="14.140625" style="2" customWidth="1"/>
    <col min="13324" max="13324" width="12.42578125" style="2" bestFit="1" customWidth="1"/>
    <col min="13325" max="13325" width="15.42578125" style="2" customWidth="1"/>
    <col min="13326" max="13572" width="9.140625" style="2"/>
    <col min="13573" max="13573" width="16.5703125" style="2" customWidth="1"/>
    <col min="13574" max="13574" width="13.42578125" style="2" customWidth="1"/>
    <col min="13575" max="13575" width="10.5703125" style="2" customWidth="1"/>
    <col min="13576" max="13576" width="16" style="2" customWidth="1"/>
    <col min="13577" max="13577" width="9.140625" style="2"/>
    <col min="13578" max="13578" width="22.140625" style="2" bestFit="1" customWidth="1"/>
    <col min="13579" max="13579" width="14.140625" style="2" customWidth="1"/>
    <col min="13580" max="13580" width="12.42578125" style="2" bestFit="1" customWidth="1"/>
    <col min="13581" max="13581" width="15.42578125" style="2" customWidth="1"/>
    <col min="13582" max="13828" width="9.140625" style="2"/>
    <col min="13829" max="13829" width="16.5703125" style="2" customWidth="1"/>
    <col min="13830" max="13830" width="13.42578125" style="2" customWidth="1"/>
    <col min="13831" max="13831" width="10.5703125" style="2" customWidth="1"/>
    <col min="13832" max="13832" width="16" style="2" customWidth="1"/>
    <col min="13833" max="13833" width="9.140625" style="2"/>
    <col min="13834" max="13834" width="22.140625" style="2" bestFit="1" customWidth="1"/>
    <col min="13835" max="13835" width="14.140625" style="2" customWidth="1"/>
    <col min="13836" max="13836" width="12.42578125" style="2" bestFit="1" customWidth="1"/>
    <col min="13837" max="13837" width="15.42578125" style="2" customWidth="1"/>
    <col min="13838" max="14084" width="9.140625" style="2"/>
    <col min="14085" max="14085" width="16.5703125" style="2" customWidth="1"/>
    <col min="14086" max="14086" width="13.42578125" style="2" customWidth="1"/>
    <col min="14087" max="14087" width="10.5703125" style="2" customWidth="1"/>
    <col min="14088" max="14088" width="16" style="2" customWidth="1"/>
    <col min="14089" max="14089" width="9.140625" style="2"/>
    <col min="14090" max="14090" width="22.140625" style="2" bestFit="1" customWidth="1"/>
    <col min="14091" max="14091" width="14.140625" style="2" customWidth="1"/>
    <col min="14092" max="14092" width="12.42578125" style="2" bestFit="1" customWidth="1"/>
    <col min="14093" max="14093" width="15.42578125" style="2" customWidth="1"/>
    <col min="14094" max="14340" width="9.140625" style="2"/>
    <col min="14341" max="14341" width="16.5703125" style="2" customWidth="1"/>
    <col min="14342" max="14342" width="13.42578125" style="2" customWidth="1"/>
    <col min="14343" max="14343" width="10.5703125" style="2" customWidth="1"/>
    <col min="14344" max="14344" width="16" style="2" customWidth="1"/>
    <col min="14345" max="14345" width="9.140625" style="2"/>
    <col min="14346" max="14346" width="22.140625" style="2" bestFit="1" customWidth="1"/>
    <col min="14347" max="14347" width="14.140625" style="2" customWidth="1"/>
    <col min="14348" max="14348" width="12.42578125" style="2" bestFit="1" customWidth="1"/>
    <col min="14349" max="14349" width="15.42578125" style="2" customWidth="1"/>
    <col min="14350" max="14596" width="9.140625" style="2"/>
    <col min="14597" max="14597" width="16.5703125" style="2" customWidth="1"/>
    <col min="14598" max="14598" width="13.42578125" style="2" customWidth="1"/>
    <col min="14599" max="14599" width="10.5703125" style="2" customWidth="1"/>
    <col min="14600" max="14600" width="16" style="2" customWidth="1"/>
    <col min="14601" max="14601" width="9.140625" style="2"/>
    <col min="14602" max="14602" width="22.140625" style="2" bestFit="1" customWidth="1"/>
    <col min="14603" max="14603" width="14.140625" style="2" customWidth="1"/>
    <col min="14604" max="14604" width="12.42578125" style="2" bestFit="1" customWidth="1"/>
    <col min="14605" max="14605" width="15.42578125" style="2" customWidth="1"/>
    <col min="14606" max="14852" width="9.140625" style="2"/>
    <col min="14853" max="14853" width="16.5703125" style="2" customWidth="1"/>
    <col min="14854" max="14854" width="13.42578125" style="2" customWidth="1"/>
    <col min="14855" max="14855" width="10.5703125" style="2" customWidth="1"/>
    <col min="14856" max="14856" width="16" style="2" customWidth="1"/>
    <col min="14857" max="14857" width="9.140625" style="2"/>
    <col min="14858" max="14858" width="22.140625" style="2" bestFit="1" customWidth="1"/>
    <col min="14859" max="14859" width="14.140625" style="2" customWidth="1"/>
    <col min="14860" max="14860" width="12.42578125" style="2" bestFit="1" customWidth="1"/>
    <col min="14861" max="14861" width="15.42578125" style="2" customWidth="1"/>
    <col min="14862" max="15108" width="9.140625" style="2"/>
    <col min="15109" max="15109" width="16.5703125" style="2" customWidth="1"/>
    <col min="15110" max="15110" width="13.42578125" style="2" customWidth="1"/>
    <col min="15111" max="15111" width="10.5703125" style="2" customWidth="1"/>
    <col min="15112" max="15112" width="16" style="2" customWidth="1"/>
    <col min="15113" max="15113" width="9.140625" style="2"/>
    <col min="15114" max="15114" width="22.140625" style="2" bestFit="1" customWidth="1"/>
    <col min="15115" max="15115" width="14.140625" style="2" customWidth="1"/>
    <col min="15116" max="15116" width="12.42578125" style="2" bestFit="1" customWidth="1"/>
    <col min="15117" max="15117" width="15.42578125" style="2" customWidth="1"/>
    <col min="15118" max="15364" width="9.140625" style="2"/>
    <col min="15365" max="15365" width="16.5703125" style="2" customWidth="1"/>
    <col min="15366" max="15366" width="13.42578125" style="2" customWidth="1"/>
    <col min="15367" max="15367" width="10.5703125" style="2" customWidth="1"/>
    <col min="15368" max="15368" width="16" style="2" customWidth="1"/>
    <col min="15369" max="15369" width="9.140625" style="2"/>
    <col min="15370" max="15370" width="22.140625" style="2" bestFit="1" customWidth="1"/>
    <col min="15371" max="15371" width="14.140625" style="2" customWidth="1"/>
    <col min="15372" max="15372" width="12.42578125" style="2" bestFit="1" customWidth="1"/>
    <col min="15373" max="15373" width="15.42578125" style="2" customWidth="1"/>
    <col min="15374" max="15620" width="9.140625" style="2"/>
    <col min="15621" max="15621" width="16.5703125" style="2" customWidth="1"/>
    <col min="15622" max="15622" width="13.42578125" style="2" customWidth="1"/>
    <col min="15623" max="15623" width="10.5703125" style="2" customWidth="1"/>
    <col min="15624" max="15624" width="16" style="2" customWidth="1"/>
    <col min="15625" max="15625" width="9.140625" style="2"/>
    <col min="15626" max="15626" width="22.140625" style="2" bestFit="1" customWidth="1"/>
    <col min="15627" max="15627" width="14.140625" style="2" customWidth="1"/>
    <col min="15628" max="15628" width="12.42578125" style="2" bestFit="1" customWidth="1"/>
    <col min="15629" max="15629" width="15.42578125" style="2" customWidth="1"/>
    <col min="15630" max="15876" width="9.140625" style="2"/>
    <col min="15877" max="15877" width="16.5703125" style="2" customWidth="1"/>
    <col min="15878" max="15878" width="13.42578125" style="2" customWidth="1"/>
    <col min="15879" max="15879" width="10.5703125" style="2" customWidth="1"/>
    <col min="15880" max="15880" width="16" style="2" customWidth="1"/>
    <col min="15881" max="15881" width="9.140625" style="2"/>
    <col min="15882" max="15882" width="22.140625" style="2" bestFit="1" customWidth="1"/>
    <col min="15883" max="15883" width="14.140625" style="2" customWidth="1"/>
    <col min="15884" max="15884" width="12.42578125" style="2" bestFit="1" customWidth="1"/>
    <col min="15885" max="15885" width="15.42578125" style="2" customWidth="1"/>
    <col min="15886" max="16132" width="9.140625" style="2"/>
    <col min="16133" max="16133" width="16.5703125" style="2" customWidth="1"/>
    <col min="16134" max="16134" width="13.42578125" style="2" customWidth="1"/>
    <col min="16135" max="16135" width="10.5703125" style="2" customWidth="1"/>
    <col min="16136" max="16136" width="16" style="2" customWidth="1"/>
    <col min="16137" max="16137" width="9.140625" style="2"/>
    <col min="16138" max="16138" width="22.140625" style="2" bestFit="1" customWidth="1"/>
    <col min="16139" max="16139" width="14.140625" style="2" customWidth="1"/>
    <col min="16140" max="16140" width="12.42578125" style="2" bestFit="1" customWidth="1"/>
    <col min="16141" max="16141" width="15.42578125" style="2" customWidth="1"/>
    <col min="16142" max="16384" width="9.140625" style="2"/>
  </cols>
  <sheetData>
    <row r="1" spans="1:14" ht="28.5" customHeight="1" x14ac:dyDescent="0.2">
      <c r="A1" s="107" t="s">
        <v>0</v>
      </c>
      <c r="B1" s="107"/>
      <c r="C1" s="107"/>
      <c r="D1" s="107"/>
      <c r="E1" s="1"/>
      <c r="F1" s="1"/>
      <c r="G1" s="113" t="s">
        <v>69</v>
      </c>
      <c r="H1" s="114"/>
      <c r="J1" s="3"/>
      <c r="K1" s="3"/>
      <c r="L1" s="3"/>
      <c r="M1" s="3"/>
      <c r="N1" s="3"/>
    </row>
    <row r="2" spans="1:14" ht="23.25" customHeight="1" x14ac:dyDescent="0.2">
      <c r="A2" s="3" t="s">
        <v>1</v>
      </c>
      <c r="B2" s="4">
        <v>45627</v>
      </c>
      <c r="C2" s="3"/>
      <c r="D2" s="3"/>
      <c r="E2" s="3"/>
      <c r="F2" s="3"/>
      <c r="G2" s="3"/>
      <c r="H2" s="3"/>
      <c r="I2" s="3"/>
      <c r="J2" s="3"/>
      <c r="M2" s="3"/>
      <c r="N2" s="3"/>
    </row>
    <row r="3" spans="1:14" x14ac:dyDescent="0.2">
      <c r="A3" s="3"/>
      <c r="B3" s="3"/>
      <c r="C3" s="3"/>
      <c r="D3" s="3"/>
      <c r="E3" s="3"/>
      <c r="F3" s="5" t="s">
        <v>2</v>
      </c>
      <c r="G3" s="5" t="s">
        <v>3</v>
      </c>
      <c r="H3" s="6" t="s">
        <v>4</v>
      </c>
      <c r="I3" s="3"/>
      <c r="J3" s="3"/>
      <c r="K3" s="3"/>
      <c r="L3" s="3"/>
      <c r="M3" s="3"/>
      <c r="N3" s="3"/>
    </row>
    <row r="4" spans="1:14" ht="15.75" thickBot="1" x14ac:dyDescent="0.25">
      <c r="A4" s="3">
        <v>1</v>
      </c>
      <c r="B4" s="3" t="s">
        <v>5</v>
      </c>
      <c r="C4" s="3"/>
      <c r="D4" s="3"/>
      <c r="E4" s="3" t="s">
        <v>6</v>
      </c>
      <c r="F4" s="3"/>
      <c r="G4" s="3"/>
      <c r="H4" s="3"/>
      <c r="I4" s="3"/>
      <c r="J4" s="3"/>
      <c r="K4" s="3"/>
    </row>
    <row r="5" spans="1:14" x14ac:dyDescent="0.2">
      <c r="A5" s="3"/>
      <c r="B5" s="7"/>
      <c r="C5" s="7" t="s">
        <v>7</v>
      </c>
      <c r="D5" s="7"/>
      <c r="E5" s="7"/>
      <c r="F5" s="8">
        <v>1</v>
      </c>
      <c r="G5" s="9">
        <v>23000</v>
      </c>
      <c r="H5" s="10">
        <f t="shared" ref="H5:H21" si="0">+F5*G5</f>
        <v>23000</v>
      </c>
      <c r="I5" s="3"/>
      <c r="J5" s="11">
        <v>6</v>
      </c>
      <c r="K5" s="12">
        <v>0.05</v>
      </c>
      <c r="L5" s="13">
        <f t="shared" ref="L5:L16" si="1">H5*K5</f>
        <v>1150</v>
      </c>
    </row>
    <row r="6" spans="1:14" x14ac:dyDescent="0.2">
      <c r="A6" s="3"/>
      <c r="B6" s="3"/>
      <c r="C6" s="3" t="s">
        <v>67</v>
      </c>
      <c r="D6" s="3"/>
      <c r="E6" s="3"/>
      <c r="F6" s="8">
        <v>1</v>
      </c>
      <c r="G6" s="9">
        <v>18000</v>
      </c>
      <c r="H6" s="10">
        <f t="shared" si="0"/>
        <v>18000</v>
      </c>
      <c r="I6" s="3"/>
      <c r="J6" s="14">
        <v>6</v>
      </c>
      <c r="K6" s="15">
        <v>0.05</v>
      </c>
      <c r="L6" s="16">
        <f t="shared" si="1"/>
        <v>900</v>
      </c>
    </row>
    <row r="7" spans="1:14" x14ac:dyDescent="0.2">
      <c r="A7" s="3"/>
      <c r="B7" s="3"/>
      <c r="C7" s="3" t="s">
        <v>68</v>
      </c>
      <c r="D7" s="3"/>
      <c r="E7" s="3"/>
      <c r="F7" s="8">
        <v>1</v>
      </c>
      <c r="G7" s="9">
        <v>16000</v>
      </c>
      <c r="H7" s="10">
        <f t="shared" si="0"/>
        <v>16000</v>
      </c>
      <c r="I7" s="3"/>
      <c r="J7" s="14">
        <v>5</v>
      </c>
      <c r="K7" s="15">
        <v>0.05</v>
      </c>
      <c r="L7" s="16">
        <f t="shared" si="1"/>
        <v>800</v>
      </c>
    </row>
    <row r="8" spans="1:14" x14ac:dyDescent="0.2">
      <c r="A8" s="3"/>
      <c r="B8" s="3"/>
      <c r="C8" s="3" t="s">
        <v>68</v>
      </c>
      <c r="D8" s="3"/>
      <c r="E8" s="3"/>
      <c r="F8" s="8"/>
      <c r="G8" s="9"/>
      <c r="H8" s="10">
        <f t="shared" si="0"/>
        <v>0</v>
      </c>
      <c r="I8" s="3"/>
      <c r="J8" s="14">
        <v>5</v>
      </c>
      <c r="K8" s="15">
        <v>0.05</v>
      </c>
      <c r="L8" s="16">
        <f t="shared" si="1"/>
        <v>0</v>
      </c>
    </row>
    <row r="9" spans="1:14" x14ac:dyDescent="0.2">
      <c r="A9" s="3"/>
      <c r="B9" s="3"/>
      <c r="C9" s="3" t="s">
        <v>8</v>
      </c>
      <c r="D9" s="3"/>
      <c r="E9" s="3"/>
      <c r="F9" s="8">
        <v>1</v>
      </c>
      <c r="G9" s="9">
        <v>16000</v>
      </c>
      <c r="H9" s="10">
        <f t="shared" si="0"/>
        <v>16000</v>
      </c>
      <c r="I9" s="3"/>
      <c r="J9" s="14">
        <v>4</v>
      </c>
      <c r="K9" s="15">
        <v>0.05</v>
      </c>
      <c r="L9" s="16">
        <f t="shared" si="1"/>
        <v>800</v>
      </c>
    </row>
    <row r="10" spans="1:14" x14ac:dyDescent="0.2">
      <c r="A10" s="3"/>
      <c r="B10" s="3"/>
      <c r="C10" s="3" t="s">
        <v>8</v>
      </c>
      <c r="D10" s="3"/>
      <c r="E10" s="3"/>
      <c r="F10" s="8"/>
      <c r="G10" s="9"/>
      <c r="H10" s="10">
        <f t="shared" si="0"/>
        <v>0</v>
      </c>
      <c r="I10" s="3"/>
      <c r="J10" s="14">
        <v>4</v>
      </c>
      <c r="K10" s="15">
        <v>0.05</v>
      </c>
      <c r="L10" s="16">
        <f t="shared" si="1"/>
        <v>0</v>
      </c>
    </row>
    <row r="11" spans="1:14" x14ac:dyDescent="0.2">
      <c r="A11" s="3"/>
      <c r="B11" s="3"/>
      <c r="C11" s="3" t="s">
        <v>9</v>
      </c>
      <c r="D11" s="3"/>
      <c r="E11" s="3"/>
      <c r="F11" s="8">
        <v>1</v>
      </c>
      <c r="G11" s="9">
        <v>15000</v>
      </c>
      <c r="H11" s="10">
        <f t="shared" si="0"/>
        <v>15000</v>
      </c>
      <c r="I11" s="3"/>
      <c r="J11" s="14">
        <v>4</v>
      </c>
      <c r="K11" s="15">
        <v>0.05</v>
      </c>
      <c r="L11" s="16">
        <f t="shared" si="1"/>
        <v>750</v>
      </c>
    </row>
    <row r="12" spans="1:14" x14ac:dyDescent="0.2">
      <c r="A12" s="3"/>
      <c r="B12" s="3"/>
      <c r="C12" s="3" t="s">
        <v>9</v>
      </c>
      <c r="D12" s="3"/>
      <c r="E12" s="3"/>
      <c r="F12" s="8"/>
      <c r="G12" s="9"/>
      <c r="H12" s="10">
        <f>+F12*G12</f>
        <v>0</v>
      </c>
      <c r="I12" s="3"/>
      <c r="J12" s="14">
        <v>4</v>
      </c>
      <c r="K12" s="15">
        <v>0.05</v>
      </c>
      <c r="L12" s="16">
        <f t="shared" si="1"/>
        <v>0</v>
      </c>
    </row>
    <row r="13" spans="1:14" x14ac:dyDescent="0.2">
      <c r="A13" s="3">
        <v>2</v>
      </c>
      <c r="B13" s="7" t="s">
        <v>10</v>
      </c>
      <c r="C13" s="7"/>
      <c r="D13" s="7"/>
      <c r="E13" s="7"/>
      <c r="F13" s="3"/>
      <c r="G13" s="17"/>
      <c r="H13" s="18"/>
      <c r="I13" s="3"/>
      <c r="J13" s="14">
        <v>4</v>
      </c>
      <c r="K13" s="15">
        <v>0.05</v>
      </c>
      <c r="L13" s="16">
        <f t="shared" si="1"/>
        <v>0</v>
      </c>
    </row>
    <row r="14" spans="1:14" x14ac:dyDescent="0.2">
      <c r="A14" s="3"/>
      <c r="B14" s="7"/>
      <c r="C14" s="7" t="s">
        <v>11</v>
      </c>
      <c r="D14" s="7"/>
      <c r="E14" s="7"/>
      <c r="F14" s="8"/>
      <c r="G14" s="9"/>
      <c r="H14" s="10">
        <f t="shared" ref="H14:H20" si="2">+F14*G14</f>
        <v>0</v>
      </c>
      <c r="I14" s="3"/>
      <c r="J14" s="14">
        <v>4</v>
      </c>
      <c r="K14" s="15">
        <v>0.05</v>
      </c>
      <c r="L14" s="16">
        <f t="shared" si="1"/>
        <v>0</v>
      </c>
    </row>
    <row r="15" spans="1:14" x14ac:dyDescent="0.2">
      <c r="A15" s="3"/>
      <c r="B15" s="3"/>
      <c r="C15" s="3" t="s">
        <v>11</v>
      </c>
      <c r="D15" s="3"/>
      <c r="E15" s="3"/>
      <c r="F15" s="8"/>
      <c r="G15" s="9"/>
      <c r="H15" s="10">
        <f t="shared" si="2"/>
        <v>0</v>
      </c>
      <c r="I15" s="3"/>
      <c r="J15" s="14">
        <v>4</v>
      </c>
      <c r="K15" s="15">
        <v>0.05</v>
      </c>
      <c r="L15" s="16">
        <f t="shared" si="1"/>
        <v>0</v>
      </c>
    </row>
    <row r="16" spans="1:14" x14ac:dyDescent="0.2">
      <c r="A16" s="3"/>
      <c r="B16" s="3"/>
      <c r="C16" s="3" t="s">
        <v>12</v>
      </c>
      <c r="D16" s="3"/>
      <c r="E16" s="3"/>
      <c r="F16" s="8">
        <v>3</v>
      </c>
      <c r="G16" s="9">
        <v>12000</v>
      </c>
      <c r="H16" s="10">
        <f t="shared" si="2"/>
        <v>36000</v>
      </c>
      <c r="I16" s="3"/>
      <c r="J16" s="14">
        <v>4</v>
      </c>
      <c r="K16" s="15">
        <v>0.05</v>
      </c>
      <c r="L16" s="16">
        <f t="shared" si="1"/>
        <v>1800</v>
      </c>
    </row>
    <row r="17" spans="1:14" x14ac:dyDescent="0.2">
      <c r="A17" s="3"/>
      <c r="B17" s="3"/>
      <c r="C17" s="3" t="s">
        <v>12</v>
      </c>
      <c r="D17" s="3"/>
      <c r="E17" s="3"/>
      <c r="F17" s="8"/>
      <c r="G17" s="9"/>
      <c r="H17" s="10">
        <f t="shared" si="2"/>
        <v>0</v>
      </c>
      <c r="I17" s="3"/>
      <c r="J17" s="14">
        <v>4</v>
      </c>
      <c r="K17" s="15">
        <v>0.05</v>
      </c>
      <c r="L17" s="16">
        <f>H17*K17</f>
        <v>0</v>
      </c>
    </row>
    <row r="18" spans="1:14" x14ac:dyDescent="0.2">
      <c r="A18" s="3"/>
      <c r="B18" s="3"/>
      <c r="C18" s="3" t="s">
        <v>12</v>
      </c>
      <c r="D18" s="3"/>
      <c r="E18" s="3"/>
      <c r="F18" s="8"/>
      <c r="G18" s="9"/>
      <c r="H18" s="10">
        <f t="shared" si="2"/>
        <v>0</v>
      </c>
      <c r="I18" s="3"/>
      <c r="J18" s="14">
        <v>4</v>
      </c>
      <c r="K18" s="15">
        <v>0.05</v>
      </c>
      <c r="L18" s="16">
        <f>H18*K18</f>
        <v>0</v>
      </c>
    </row>
    <row r="19" spans="1:14" x14ac:dyDescent="0.2">
      <c r="A19" s="3"/>
      <c r="B19" s="3"/>
      <c r="C19" s="3" t="s">
        <v>12</v>
      </c>
      <c r="D19" s="3"/>
      <c r="E19" s="3"/>
      <c r="F19" s="8"/>
      <c r="G19" s="9"/>
      <c r="H19" s="10">
        <f t="shared" si="2"/>
        <v>0</v>
      </c>
      <c r="I19" s="3"/>
      <c r="J19" s="14">
        <v>4</v>
      </c>
      <c r="K19" s="15">
        <v>0.05</v>
      </c>
      <c r="L19" s="16">
        <f>H19*K19</f>
        <v>0</v>
      </c>
    </row>
    <row r="20" spans="1:14" x14ac:dyDescent="0.2">
      <c r="A20" s="3"/>
      <c r="B20" s="3"/>
      <c r="C20" s="3" t="s">
        <v>12</v>
      </c>
      <c r="D20" s="3"/>
      <c r="E20" s="3"/>
      <c r="F20" s="8"/>
      <c r="G20" s="9"/>
      <c r="H20" s="10">
        <f t="shared" si="2"/>
        <v>0</v>
      </c>
      <c r="I20" s="3"/>
      <c r="J20" s="14">
        <v>4</v>
      </c>
      <c r="K20" s="15">
        <v>0.05</v>
      </c>
      <c r="L20" s="16">
        <f>H20*K20</f>
        <v>0</v>
      </c>
    </row>
    <row r="21" spans="1:14" s="25" customFormat="1" ht="15.75" thickBot="1" x14ac:dyDescent="0.25">
      <c r="A21" s="3">
        <v>3</v>
      </c>
      <c r="B21" s="7" t="s">
        <v>13</v>
      </c>
      <c r="C21" s="7"/>
      <c r="D21" s="7"/>
      <c r="E21" s="7"/>
      <c r="F21" s="19">
        <v>5</v>
      </c>
      <c r="G21" s="20">
        <v>2000</v>
      </c>
      <c r="H21" s="21">
        <f t="shared" si="0"/>
        <v>10000</v>
      </c>
      <c r="I21" s="1"/>
      <c r="J21" s="22"/>
      <c r="K21" s="23"/>
      <c r="L21" s="24">
        <f>SUM(L5:L20)</f>
        <v>6200</v>
      </c>
    </row>
    <row r="22" spans="1:14" ht="16.5" thickTop="1" thickBot="1" x14ac:dyDescent="0.25">
      <c r="A22" s="1"/>
      <c r="B22" s="26" t="s">
        <v>14</v>
      </c>
      <c r="C22" s="26"/>
      <c r="D22" s="26"/>
      <c r="E22" s="26"/>
      <c r="F22" s="27"/>
      <c r="G22" s="28"/>
      <c r="H22" s="29">
        <f>SUM(H5:H21)</f>
        <v>134000</v>
      </c>
      <c r="I22" s="3"/>
      <c r="J22" s="3"/>
      <c r="K22" s="3"/>
    </row>
    <row r="23" spans="1:14" ht="15.75" thickTop="1" x14ac:dyDescent="0.2">
      <c r="A23" s="3"/>
      <c r="B23" s="3"/>
      <c r="C23" s="3"/>
      <c r="D23" s="3"/>
      <c r="E23" s="3"/>
      <c r="F23" s="3"/>
      <c r="G23" s="30"/>
      <c r="H23" s="18"/>
      <c r="I23" s="3"/>
      <c r="J23" s="3"/>
      <c r="K23" s="3"/>
      <c r="L23" s="3"/>
      <c r="M23" s="3"/>
      <c r="N23" s="3"/>
    </row>
    <row r="24" spans="1:14" x14ac:dyDescent="0.2">
      <c r="A24" s="3">
        <v>4</v>
      </c>
      <c r="B24" s="31" t="s">
        <v>15</v>
      </c>
      <c r="C24" s="31"/>
      <c r="D24" s="31"/>
      <c r="E24" s="31"/>
      <c r="F24" s="32"/>
      <c r="G24" s="32"/>
      <c r="H24" s="33">
        <f>L21</f>
        <v>6200</v>
      </c>
      <c r="I24" s="3"/>
      <c r="J24" s="1"/>
      <c r="K24" s="1"/>
      <c r="L24" s="1"/>
      <c r="N24" s="3"/>
    </row>
    <row r="25" spans="1:14" x14ac:dyDescent="0.2">
      <c r="A25" s="3">
        <v>5</v>
      </c>
      <c r="B25" s="31" t="s">
        <v>16</v>
      </c>
      <c r="C25" s="31"/>
      <c r="D25" s="31"/>
      <c r="E25" s="31"/>
      <c r="F25" s="34"/>
      <c r="G25" s="34"/>
      <c r="H25" s="33"/>
      <c r="I25" s="3"/>
      <c r="J25" s="1"/>
      <c r="K25" s="1"/>
      <c r="L25" s="1"/>
      <c r="N25" s="3"/>
    </row>
    <row r="26" spans="1:14" x14ac:dyDescent="0.2">
      <c r="A26" s="3">
        <v>6</v>
      </c>
      <c r="B26" s="31" t="s">
        <v>17</v>
      </c>
      <c r="C26" s="31"/>
      <c r="D26" s="31"/>
      <c r="E26" s="31"/>
      <c r="F26" s="34"/>
      <c r="G26" s="34"/>
      <c r="H26" s="33"/>
      <c r="I26" s="3"/>
      <c r="J26" s="1"/>
      <c r="K26" s="1"/>
      <c r="L26" s="1"/>
      <c r="N26" s="3"/>
    </row>
    <row r="27" spans="1:14" x14ac:dyDescent="0.2">
      <c r="A27" s="3">
        <v>7</v>
      </c>
      <c r="B27" s="31" t="s">
        <v>18</v>
      </c>
      <c r="C27" s="31"/>
      <c r="D27" s="31"/>
      <c r="E27" s="35"/>
      <c r="F27" s="34"/>
      <c r="G27" s="34"/>
      <c r="H27" s="33">
        <f>H24</f>
        <v>6200</v>
      </c>
      <c r="I27" s="3"/>
      <c r="J27" s="3"/>
      <c r="K27" s="3"/>
      <c r="L27" s="3"/>
      <c r="N27" s="3"/>
    </row>
    <row r="28" spans="1:14" x14ac:dyDescent="0.2">
      <c r="A28" s="3">
        <v>8</v>
      </c>
      <c r="B28" s="115" t="s">
        <v>19</v>
      </c>
      <c r="C28" s="116"/>
      <c r="D28" s="116"/>
      <c r="E28" s="117"/>
      <c r="F28" s="34"/>
      <c r="G28" s="34"/>
      <c r="H28" s="33"/>
      <c r="I28" s="3"/>
      <c r="J28" s="3"/>
      <c r="K28" s="3"/>
      <c r="L28" s="3"/>
      <c r="N28" s="3"/>
    </row>
    <row r="29" spans="1:14" x14ac:dyDescent="0.2">
      <c r="A29" s="3">
        <v>9</v>
      </c>
      <c r="B29" s="3" t="s">
        <v>20</v>
      </c>
      <c r="C29" s="3"/>
      <c r="D29" s="3"/>
      <c r="E29" s="3"/>
      <c r="F29" s="34"/>
      <c r="G29" s="34"/>
      <c r="H29" s="33"/>
      <c r="I29" s="3"/>
      <c r="J29" s="3"/>
      <c r="K29" s="3"/>
      <c r="L29" s="3"/>
      <c r="N29" s="3"/>
    </row>
    <row r="30" spans="1:14" x14ac:dyDescent="0.2">
      <c r="A30" s="3">
        <v>10</v>
      </c>
      <c r="B30" s="31" t="s">
        <v>21</v>
      </c>
      <c r="C30" s="31"/>
      <c r="D30" s="31"/>
      <c r="E30" s="35"/>
      <c r="F30" s="32"/>
      <c r="G30" s="32"/>
      <c r="H30" s="33"/>
      <c r="J30" s="3" t="s">
        <v>22</v>
      </c>
      <c r="K30" s="36">
        <v>2000000</v>
      </c>
      <c r="L30" s="3" t="s">
        <v>23</v>
      </c>
      <c r="M30" s="37">
        <v>0.14000000000000001</v>
      </c>
    </row>
    <row r="31" spans="1:14" x14ac:dyDescent="0.2">
      <c r="A31" s="3">
        <v>11</v>
      </c>
      <c r="B31" s="3" t="s">
        <v>24</v>
      </c>
      <c r="C31" s="3"/>
      <c r="D31" s="3"/>
      <c r="E31" s="3"/>
      <c r="F31" s="32"/>
      <c r="G31" s="32"/>
      <c r="H31" s="33"/>
      <c r="J31" s="38" t="s">
        <v>23</v>
      </c>
      <c r="K31" s="39" t="s">
        <v>25</v>
      </c>
      <c r="L31" s="39"/>
      <c r="M31" s="32"/>
    </row>
    <row r="32" spans="1:14" x14ac:dyDescent="0.2">
      <c r="A32" s="3">
        <v>12</v>
      </c>
      <c r="B32" s="31" t="s">
        <v>26</v>
      </c>
      <c r="C32" s="31"/>
      <c r="D32" s="31"/>
      <c r="E32" s="35"/>
      <c r="G32" s="32"/>
      <c r="H32" s="33"/>
      <c r="J32" s="40">
        <f>K30*M30</f>
        <v>280000</v>
      </c>
      <c r="K32" s="41">
        <f>J32-H34</f>
        <v>132600</v>
      </c>
      <c r="L32" s="42">
        <f>K32/'COL Daily'!E4</f>
        <v>2652</v>
      </c>
      <c r="M32" s="43" t="s">
        <v>27</v>
      </c>
    </row>
    <row r="33" spans="1:14" x14ac:dyDescent="0.2">
      <c r="A33" s="3">
        <v>13</v>
      </c>
      <c r="B33" s="3" t="s">
        <v>28</v>
      </c>
      <c r="C33" s="3"/>
      <c r="D33" s="3"/>
      <c r="E33" s="3"/>
      <c r="F33" s="32"/>
      <c r="G33" s="32"/>
      <c r="H33" s="33">
        <v>1000</v>
      </c>
      <c r="J33" s="44"/>
      <c r="K33" s="45"/>
      <c r="L33" s="42">
        <f>L32/H35</f>
        <v>85.548387096774192</v>
      </c>
      <c r="M33" s="43" t="s">
        <v>29</v>
      </c>
    </row>
    <row r="34" spans="1:14" x14ac:dyDescent="0.2">
      <c r="A34" s="3"/>
      <c r="B34" s="31"/>
      <c r="C34" s="26" t="s">
        <v>30</v>
      </c>
      <c r="D34" s="31"/>
      <c r="E34" s="31"/>
      <c r="F34" s="32"/>
      <c r="G34" s="32"/>
      <c r="H34" s="46">
        <f>SUM(H22:H33)</f>
        <v>147400</v>
      </c>
      <c r="J34" s="44"/>
      <c r="K34" s="47" t="s">
        <v>31</v>
      </c>
      <c r="L34" s="48">
        <f>L33/8</f>
        <v>10.693548387096774</v>
      </c>
      <c r="M34" s="43" t="s">
        <v>32</v>
      </c>
    </row>
    <row r="35" spans="1:14" ht="18" x14ac:dyDescent="0.25">
      <c r="A35" s="3"/>
      <c r="B35" s="3"/>
      <c r="C35" s="3"/>
      <c r="D35" s="3"/>
      <c r="E35" s="3"/>
      <c r="F35" s="34" t="s">
        <v>33</v>
      </c>
      <c r="G35" s="32"/>
      <c r="H35" s="49">
        <v>31</v>
      </c>
      <c r="J35" s="32"/>
      <c r="K35" s="50" t="s">
        <v>34</v>
      </c>
      <c r="L35" s="32">
        <f>SUM(F14:F20)</f>
        <v>3</v>
      </c>
      <c r="M35" s="32" t="s">
        <v>32</v>
      </c>
    </row>
    <row r="36" spans="1:14" ht="18" x14ac:dyDescent="0.25">
      <c r="A36" s="3"/>
      <c r="B36" s="3"/>
      <c r="C36" s="3"/>
      <c r="D36" s="3"/>
      <c r="E36" s="3"/>
      <c r="F36" s="32" t="s">
        <v>35</v>
      </c>
      <c r="G36" s="32"/>
      <c r="H36" s="51">
        <f>+H34/H35</f>
        <v>4754.8387096774195</v>
      </c>
      <c r="I36" s="3"/>
      <c r="J36" s="118" t="s">
        <v>36</v>
      </c>
      <c r="K36" s="119"/>
      <c r="L36" s="52">
        <f>L34+L35</f>
        <v>13.693548387096774</v>
      </c>
      <c r="M36" s="53" t="s">
        <v>32</v>
      </c>
      <c r="N36" s="3"/>
    </row>
    <row r="37" spans="1:14" x14ac:dyDescent="0.2">
      <c r="A37" s="3"/>
      <c r="B37" s="3"/>
      <c r="C37" s="3"/>
      <c r="D37" s="3"/>
      <c r="E37" s="3"/>
      <c r="F37" s="3"/>
      <c r="G37" s="3"/>
      <c r="H37" s="54"/>
      <c r="I37" s="3"/>
      <c r="N37" s="3"/>
    </row>
    <row r="38" spans="1:14" hidden="1" x14ac:dyDescent="0.2">
      <c r="A38" s="3"/>
      <c r="B38" s="3" t="s">
        <v>37</v>
      </c>
      <c r="C38" s="3" t="s">
        <v>38</v>
      </c>
      <c r="D38" s="3"/>
      <c r="E38" s="55" t="s">
        <v>39</v>
      </c>
      <c r="F38" s="15">
        <v>0.05</v>
      </c>
      <c r="G38" s="3"/>
      <c r="H38" s="3"/>
      <c r="I38" s="3"/>
      <c r="N38" s="3"/>
    </row>
    <row r="39" spans="1:14" hidden="1" x14ac:dyDescent="0.2">
      <c r="A39" s="3"/>
      <c r="B39" s="3"/>
      <c r="C39" s="3"/>
      <c r="D39" s="3"/>
      <c r="E39" s="3" t="s">
        <v>40</v>
      </c>
      <c r="F39" s="15">
        <v>7.0000000000000007E-2</v>
      </c>
      <c r="G39" s="3"/>
      <c r="H39" s="3"/>
      <c r="I39" s="3"/>
      <c r="N39" s="3"/>
    </row>
    <row r="40" spans="1:14" hidden="1" x14ac:dyDescent="0.2">
      <c r="A40" s="3"/>
      <c r="B40" s="3"/>
      <c r="C40" s="3"/>
      <c r="D40" s="3"/>
      <c r="E40" s="3" t="s">
        <v>41</v>
      </c>
      <c r="F40" s="15">
        <v>0.08</v>
      </c>
      <c r="G40" s="3"/>
      <c r="H40" s="3"/>
      <c r="I40" s="3"/>
      <c r="J40" s="3"/>
      <c r="K40" s="3"/>
      <c r="L40" s="3"/>
      <c r="M40" s="3"/>
      <c r="N40" s="3"/>
    </row>
    <row r="41" spans="1:14" hidden="1" x14ac:dyDescent="0.2">
      <c r="A41" s="3"/>
      <c r="B41" s="3"/>
      <c r="C41" s="3"/>
      <c r="D41" s="3"/>
      <c r="E41" s="3" t="s">
        <v>42</v>
      </c>
      <c r="F41" s="15">
        <v>0.09</v>
      </c>
      <c r="G41" s="3"/>
      <c r="H41" s="3"/>
      <c r="I41" s="3"/>
      <c r="J41" s="3"/>
      <c r="K41" s="3"/>
      <c r="L41" s="3"/>
      <c r="M41" s="3"/>
      <c r="N41" s="3"/>
    </row>
    <row r="42" spans="1:14" hidden="1" x14ac:dyDescent="0.2">
      <c r="A42" s="3"/>
      <c r="B42" s="3"/>
      <c r="C42" s="3"/>
      <c r="D42" s="3"/>
      <c r="E42" s="3" t="s">
        <v>43</v>
      </c>
      <c r="F42" s="15">
        <v>0.1</v>
      </c>
      <c r="G42" s="3"/>
      <c r="H42" s="3"/>
      <c r="I42" s="3"/>
      <c r="J42" s="3"/>
      <c r="K42" s="3"/>
      <c r="L42" s="3"/>
      <c r="M42" s="3"/>
      <c r="N42" s="3"/>
    </row>
    <row r="43" spans="1:14" hidden="1" x14ac:dyDescent="0.2">
      <c r="A43" s="3"/>
      <c r="B43" s="3"/>
      <c r="C43" s="3"/>
      <c r="D43" s="3"/>
      <c r="E43" s="3"/>
      <c r="F43" s="3"/>
      <c r="G43" s="3"/>
      <c r="H43" s="54"/>
      <c r="I43" s="3"/>
      <c r="J43" s="3"/>
      <c r="K43" s="3"/>
      <c r="L43" s="3"/>
      <c r="M43" s="3"/>
      <c r="N43" s="3"/>
    </row>
    <row r="44" spans="1:14" hidden="1" x14ac:dyDescent="0.2">
      <c r="A44" s="3"/>
      <c r="B44" s="3" t="s">
        <v>44</v>
      </c>
      <c r="C44" s="3" t="s">
        <v>45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idden="1" x14ac:dyDescent="0.2">
      <c r="A45" s="3"/>
      <c r="B45" s="3"/>
      <c r="C45" s="3" t="s">
        <v>46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idden="1" x14ac:dyDescent="0.2">
      <c r="A46" s="3"/>
      <c r="B46" s="3"/>
      <c r="C46" s="3"/>
      <c r="D46" s="3"/>
      <c r="E46" s="3"/>
      <c r="F46" s="3"/>
      <c r="G46" s="3"/>
      <c r="H46" s="3"/>
      <c r="J46" s="3"/>
      <c r="K46" s="3"/>
      <c r="L46" s="3"/>
    </row>
    <row r="47" spans="1:14" hidden="1" x14ac:dyDescent="0.2">
      <c r="A47" s="3"/>
      <c r="B47" s="3"/>
      <c r="C47" s="3"/>
      <c r="D47" s="3"/>
      <c r="E47" s="3"/>
      <c r="F47" s="3"/>
      <c r="G47" s="3"/>
      <c r="H47" s="3"/>
      <c r="J47" s="3"/>
      <c r="K47" s="3"/>
      <c r="L47" s="3"/>
    </row>
    <row r="48" spans="1:14" x14ac:dyDescent="0.2">
      <c r="A48" s="3"/>
      <c r="B48" s="3"/>
      <c r="G48" s="3"/>
      <c r="H48" s="3"/>
      <c r="J48" s="3"/>
      <c r="K48" s="3"/>
      <c r="L48" s="3"/>
    </row>
  </sheetData>
  <mergeCells count="4">
    <mergeCell ref="A1:D1"/>
    <mergeCell ref="G1:H1"/>
    <mergeCell ref="B28:E28"/>
    <mergeCell ref="J36:K36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R112"/>
  <sheetViews>
    <sheetView showGridLines="0" tabSelected="1" workbookViewId="0">
      <pane ySplit="5" topLeftCell="A6" activePane="bottomLeft" state="frozen"/>
      <selection activeCell="J1" sqref="J1"/>
      <selection pane="bottomLeft" activeCell="G2" sqref="G2"/>
    </sheetView>
  </sheetViews>
  <sheetFormatPr defaultRowHeight="12.75" x14ac:dyDescent="0.2"/>
  <cols>
    <col min="1" max="1" width="6.5703125" customWidth="1"/>
    <col min="2" max="2" width="5.42578125" customWidth="1"/>
    <col min="3" max="3" width="10.85546875" customWidth="1"/>
    <col min="4" max="4" width="11" customWidth="1"/>
    <col min="5" max="5" width="8.85546875" customWidth="1"/>
    <col min="7" max="7" width="11" customWidth="1"/>
    <col min="8" max="8" width="9.42578125" bestFit="1" customWidth="1"/>
    <col min="9" max="9" width="10.42578125" bestFit="1" customWidth="1"/>
    <col min="10" max="10" width="3.5703125" customWidth="1"/>
    <col min="11" max="14" width="10" customWidth="1"/>
    <col min="257" max="257" width="6.5703125" customWidth="1"/>
    <col min="258" max="258" width="5.42578125" customWidth="1"/>
    <col min="259" max="259" width="10.85546875" customWidth="1"/>
    <col min="260" max="260" width="11" customWidth="1"/>
    <col min="263" max="263" width="11" customWidth="1"/>
    <col min="264" max="264" width="9.42578125" bestFit="1" customWidth="1"/>
    <col min="265" max="265" width="10.42578125" bestFit="1" customWidth="1"/>
    <col min="266" max="266" width="3.5703125" customWidth="1"/>
    <col min="267" max="270" width="10" customWidth="1"/>
    <col min="513" max="513" width="6.5703125" customWidth="1"/>
    <col min="514" max="514" width="5.42578125" customWidth="1"/>
    <col min="515" max="515" width="10.85546875" customWidth="1"/>
    <col min="516" max="516" width="11" customWidth="1"/>
    <col min="519" max="519" width="11" customWidth="1"/>
    <col min="520" max="520" width="9.42578125" bestFit="1" customWidth="1"/>
    <col min="521" max="521" width="10.42578125" bestFit="1" customWidth="1"/>
    <col min="522" max="522" width="3.5703125" customWidth="1"/>
    <col min="523" max="526" width="10" customWidth="1"/>
    <col min="769" max="769" width="6.5703125" customWidth="1"/>
    <col min="770" max="770" width="5.42578125" customWidth="1"/>
    <col min="771" max="771" width="10.85546875" customWidth="1"/>
    <col min="772" max="772" width="11" customWidth="1"/>
    <col min="775" max="775" width="11" customWidth="1"/>
    <col min="776" max="776" width="9.42578125" bestFit="1" customWidth="1"/>
    <col min="777" max="777" width="10.42578125" bestFit="1" customWidth="1"/>
    <col min="778" max="778" width="3.5703125" customWidth="1"/>
    <col min="779" max="782" width="10" customWidth="1"/>
    <col min="1025" max="1025" width="6.5703125" customWidth="1"/>
    <col min="1026" max="1026" width="5.42578125" customWidth="1"/>
    <col min="1027" max="1027" width="10.85546875" customWidth="1"/>
    <col min="1028" max="1028" width="11" customWidth="1"/>
    <col min="1031" max="1031" width="11" customWidth="1"/>
    <col min="1032" max="1032" width="9.42578125" bestFit="1" customWidth="1"/>
    <col min="1033" max="1033" width="10.42578125" bestFit="1" customWidth="1"/>
    <col min="1034" max="1034" width="3.5703125" customWidth="1"/>
    <col min="1035" max="1038" width="10" customWidth="1"/>
    <col min="1281" max="1281" width="6.5703125" customWidth="1"/>
    <col min="1282" max="1282" width="5.42578125" customWidth="1"/>
    <col min="1283" max="1283" width="10.85546875" customWidth="1"/>
    <col min="1284" max="1284" width="11" customWidth="1"/>
    <col min="1287" max="1287" width="11" customWidth="1"/>
    <col min="1288" max="1288" width="9.42578125" bestFit="1" customWidth="1"/>
    <col min="1289" max="1289" width="10.42578125" bestFit="1" customWidth="1"/>
    <col min="1290" max="1290" width="3.5703125" customWidth="1"/>
    <col min="1291" max="1294" width="10" customWidth="1"/>
    <col min="1537" max="1537" width="6.5703125" customWidth="1"/>
    <col min="1538" max="1538" width="5.42578125" customWidth="1"/>
    <col min="1539" max="1539" width="10.85546875" customWidth="1"/>
    <col min="1540" max="1540" width="11" customWidth="1"/>
    <col min="1543" max="1543" width="11" customWidth="1"/>
    <col min="1544" max="1544" width="9.42578125" bestFit="1" customWidth="1"/>
    <col min="1545" max="1545" width="10.42578125" bestFit="1" customWidth="1"/>
    <col min="1546" max="1546" width="3.5703125" customWidth="1"/>
    <col min="1547" max="1550" width="10" customWidth="1"/>
    <col min="1793" max="1793" width="6.5703125" customWidth="1"/>
    <col min="1794" max="1794" width="5.42578125" customWidth="1"/>
    <col min="1795" max="1795" width="10.85546875" customWidth="1"/>
    <col min="1796" max="1796" width="11" customWidth="1"/>
    <col min="1799" max="1799" width="11" customWidth="1"/>
    <col min="1800" max="1800" width="9.42578125" bestFit="1" customWidth="1"/>
    <col min="1801" max="1801" width="10.42578125" bestFit="1" customWidth="1"/>
    <col min="1802" max="1802" width="3.5703125" customWidth="1"/>
    <col min="1803" max="1806" width="10" customWidth="1"/>
    <col min="2049" max="2049" width="6.5703125" customWidth="1"/>
    <col min="2050" max="2050" width="5.42578125" customWidth="1"/>
    <col min="2051" max="2051" width="10.85546875" customWidth="1"/>
    <col min="2052" max="2052" width="11" customWidth="1"/>
    <col min="2055" max="2055" width="11" customWidth="1"/>
    <col min="2056" max="2056" width="9.42578125" bestFit="1" customWidth="1"/>
    <col min="2057" max="2057" width="10.42578125" bestFit="1" customWidth="1"/>
    <col min="2058" max="2058" width="3.5703125" customWidth="1"/>
    <col min="2059" max="2062" width="10" customWidth="1"/>
    <col min="2305" max="2305" width="6.5703125" customWidth="1"/>
    <col min="2306" max="2306" width="5.42578125" customWidth="1"/>
    <col min="2307" max="2307" width="10.85546875" customWidth="1"/>
    <col min="2308" max="2308" width="11" customWidth="1"/>
    <col min="2311" max="2311" width="11" customWidth="1"/>
    <col min="2312" max="2312" width="9.42578125" bestFit="1" customWidth="1"/>
    <col min="2313" max="2313" width="10.42578125" bestFit="1" customWidth="1"/>
    <col min="2314" max="2314" width="3.5703125" customWidth="1"/>
    <col min="2315" max="2318" width="10" customWidth="1"/>
    <col min="2561" max="2561" width="6.5703125" customWidth="1"/>
    <col min="2562" max="2562" width="5.42578125" customWidth="1"/>
    <col min="2563" max="2563" width="10.85546875" customWidth="1"/>
    <col min="2564" max="2564" width="11" customWidth="1"/>
    <col min="2567" max="2567" width="11" customWidth="1"/>
    <col min="2568" max="2568" width="9.42578125" bestFit="1" customWidth="1"/>
    <col min="2569" max="2569" width="10.42578125" bestFit="1" customWidth="1"/>
    <col min="2570" max="2570" width="3.5703125" customWidth="1"/>
    <col min="2571" max="2574" width="10" customWidth="1"/>
    <col min="2817" max="2817" width="6.5703125" customWidth="1"/>
    <col min="2818" max="2818" width="5.42578125" customWidth="1"/>
    <col min="2819" max="2819" width="10.85546875" customWidth="1"/>
    <col min="2820" max="2820" width="11" customWidth="1"/>
    <col min="2823" max="2823" width="11" customWidth="1"/>
    <col min="2824" max="2824" width="9.42578125" bestFit="1" customWidth="1"/>
    <col min="2825" max="2825" width="10.42578125" bestFit="1" customWidth="1"/>
    <col min="2826" max="2826" width="3.5703125" customWidth="1"/>
    <col min="2827" max="2830" width="10" customWidth="1"/>
    <col min="3073" max="3073" width="6.5703125" customWidth="1"/>
    <col min="3074" max="3074" width="5.42578125" customWidth="1"/>
    <col min="3075" max="3075" width="10.85546875" customWidth="1"/>
    <col min="3076" max="3076" width="11" customWidth="1"/>
    <col min="3079" max="3079" width="11" customWidth="1"/>
    <col min="3080" max="3080" width="9.42578125" bestFit="1" customWidth="1"/>
    <col min="3081" max="3081" width="10.42578125" bestFit="1" customWidth="1"/>
    <col min="3082" max="3082" width="3.5703125" customWidth="1"/>
    <col min="3083" max="3086" width="10" customWidth="1"/>
    <col min="3329" max="3329" width="6.5703125" customWidth="1"/>
    <col min="3330" max="3330" width="5.42578125" customWidth="1"/>
    <col min="3331" max="3331" width="10.85546875" customWidth="1"/>
    <col min="3332" max="3332" width="11" customWidth="1"/>
    <col min="3335" max="3335" width="11" customWidth="1"/>
    <col min="3336" max="3336" width="9.42578125" bestFit="1" customWidth="1"/>
    <col min="3337" max="3337" width="10.42578125" bestFit="1" customWidth="1"/>
    <col min="3338" max="3338" width="3.5703125" customWidth="1"/>
    <col min="3339" max="3342" width="10" customWidth="1"/>
    <col min="3585" max="3585" width="6.5703125" customWidth="1"/>
    <col min="3586" max="3586" width="5.42578125" customWidth="1"/>
    <col min="3587" max="3587" width="10.85546875" customWidth="1"/>
    <col min="3588" max="3588" width="11" customWidth="1"/>
    <col min="3591" max="3591" width="11" customWidth="1"/>
    <col min="3592" max="3592" width="9.42578125" bestFit="1" customWidth="1"/>
    <col min="3593" max="3593" width="10.42578125" bestFit="1" customWidth="1"/>
    <col min="3594" max="3594" width="3.5703125" customWidth="1"/>
    <col min="3595" max="3598" width="10" customWidth="1"/>
    <col min="3841" max="3841" width="6.5703125" customWidth="1"/>
    <col min="3842" max="3842" width="5.42578125" customWidth="1"/>
    <col min="3843" max="3843" width="10.85546875" customWidth="1"/>
    <col min="3844" max="3844" width="11" customWidth="1"/>
    <col min="3847" max="3847" width="11" customWidth="1"/>
    <col min="3848" max="3848" width="9.42578125" bestFit="1" customWidth="1"/>
    <col min="3849" max="3849" width="10.42578125" bestFit="1" customWidth="1"/>
    <col min="3850" max="3850" width="3.5703125" customWidth="1"/>
    <col min="3851" max="3854" width="10" customWidth="1"/>
    <col min="4097" max="4097" width="6.5703125" customWidth="1"/>
    <col min="4098" max="4098" width="5.42578125" customWidth="1"/>
    <col min="4099" max="4099" width="10.85546875" customWidth="1"/>
    <col min="4100" max="4100" width="11" customWidth="1"/>
    <col min="4103" max="4103" width="11" customWidth="1"/>
    <col min="4104" max="4104" width="9.42578125" bestFit="1" customWidth="1"/>
    <col min="4105" max="4105" width="10.42578125" bestFit="1" customWidth="1"/>
    <col min="4106" max="4106" width="3.5703125" customWidth="1"/>
    <col min="4107" max="4110" width="10" customWidth="1"/>
    <col min="4353" max="4353" width="6.5703125" customWidth="1"/>
    <col min="4354" max="4354" width="5.42578125" customWidth="1"/>
    <col min="4355" max="4355" width="10.85546875" customWidth="1"/>
    <col min="4356" max="4356" width="11" customWidth="1"/>
    <col min="4359" max="4359" width="11" customWidth="1"/>
    <col min="4360" max="4360" width="9.42578125" bestFit="1" customWidth="1"/>
    <col min="4361" max="4361" width="10.42578125" bestFit="1" customWidth="1"/>
    <col min="4362" max="4362" width="3.5703125" customWidth="1"/>
    <col min="4363" max="4366" width="10" customWidth="1"/>
    <col min="4609" max="4609" width="6.5703125" customWidth="1"/>
    <col min="4610" max="4610" width="5.42578125" customWidth="1"/>
    <col min="4611" max="4611" width="10.85546875" customWidth="1"/>
    <col min="4612" max="4612" width="11" customWidth="1"/>
    <col min="4615" max="4615" width="11" customWidth="1"/>
    <col min="4616" max="4616" width="9.42578125" bestFit="1" customWidth="1"/>
    <col min="4617" max="4617" width="10.42578125" bestFit="1" customWidth="1"/>
    <col min="4618" max="4618" width="3.5703125" customWidth="1"/>
    <col min="4619" max="4622" width="10" customWidth="1"/>
    <col min="4865" max="4865" width="6.5703125" customWidth="1"/>
    <col min="4866" max="4866" width="5.42578125" customWidth="1"/>
    <col min="4867" max="4867" width="10.85546875" customWidth="1"/>
    <col min="4868" max="4868" width="11" customWidth="1"/>
    <col min="4871" max="4871" width="11" customWidth="1"/>
    <col min="4872" max="4872" width="9.42578125" bestFit="1" customWidth="1"/>
    <col min="4873" max="4873" width="10.42578125" bestFit="1" customWidth="1"/>
    <col min="4874" max="4874" width="3.5703125" customWidth="1"/>
    <col min="4875" max="4878" width="10" customWidth="1"/>
    <col min="5121" max="5121" width="6.5703125" customWidth="1"/>
    <col min="5122" max="5122" width="5.42578125" customWidth="1"/>
    <col min="5123" max="5123" width="10.85546875" customWidth="1"/>
    <col min="5124" max="5124" width="11" customWidth="1"/>
    <col min="5127" max="5127" width="11" customWidth="1"/>
    <col min="5128" max="5128" width="9.42578125" bestFit="1" customWidth="1"/>
    <col min="5129" max="5129" width="10.42578125" bestFit="1" customWidth="1"/>
    <col min="5130" max="5130" width="3.5703125" customWidth="1"/>
    <col min="5131" max="5134" width="10" customWidth="1"/>
    <col min="5377" max="5377" width="6.5703125" customWidth="1"/>
    <col min="5378" max="5378" width="5.42578125" customWidth="1"/>
    <col min="5379" max="5379" width="10.85546875" customWidth="1"/>
    <col min="5380" max="5380" width="11" customWidth="1"/>
    <col min="5383" max="5383" width="11" customWidth="1"/>
    <col min="5384" max="5384" width="9.42578125" bestFit="1" customWidth="1"/>
    <col min="5385" max="5385" width="10.42578125" bestFit="1" customWidth="1"/>
    <col min="5386" max="5386" width="3.5703125" customWidth="1"/>
    <col min="5387" max="5390" width="10" customWidth="1"/>
    <col min="5633" max="5633" width="6.5703125" customWidth="1"/>
    <col min="5634" max="5634" width="5.42578125" customWidth="1"/>
    <col min="5635" max="5635" width="10.85546875" customWidth="1"/>
    <col min="5636" max="5636" width="11" customWidth="1"/>
    <col min="5639" max="5639" width="11" customWidth="1"/>
    <col min="5640" max="5640" width="9.42578125" bestFit="1" customWidth="1"/>
    <col min="5641" max="5641" width="10.42578125" bestFit="1" customWidth="1"/>
    <col min="5642" max="5642" width="3.5703125" customWidth="1"/>
    <col min="5643" max="5646" width="10" customWidth="1"/>
    <col min="5889" max="5889" width="6.5703125" customWidth="1"/>
    <col min="5890" max="5890" width="5.42578125" customWidth="1"/>
    <col min="5891" max="5891" width="10.85546875" customWidth="1"/>
    <col min="5892" max="5892" width="11" customWidth="1"/>
    <col min="5895" max="5895" width="11" customWidth="1"/>
    <col min="5896" max="5896" width="9.42578125" bestFit="1" customWidth="1"/>
    <col min="5897" max="5897" width="10.42578125" bestFit="1" customWidth="1"/>
    <col min="5898" max="5898" width="3.5703125" customWidth="1"/>
    <col min="5899" max="5902" width="10" customWidth="1"/>
    <col min="6145" max="6145" width="6.5703125" customWidth="1"/>
    <col min="6146" max="6146" width="5.42578125" customWidth="1"/>
    <col min="6147" max="6147" width="10.85546875" customWidth="1"/>
    <col min="6148" max="6148" width="11" customWidth="1"/>
    <col min="6151" max="6151" width="11" customWidth="1"/>
    <col min="6152" max="6152" width="9.42578125" bestFit="1" customWidth="1"/>
    <col min="6153" max="6153" width="10.42578125" bestFit="1" customWidth="1"/>
    <col min="6154" max="6154" width="3.5703125" customWidth="1"/>
    <col min="6155" max="6158" width="10" customWidth="1"/>
    <col min="6401" max="6401" width="6.5703125" customWidth="1"/>
    <col min="6402" max="6402" width="5.42578125" customWidth="1"/>
    <col min="6403" max="6403" width="10.85546875" customWidth="1"/>
    <col min="6404" max="6404" width="11" customWidth="1"/>
    <col min="6407" max="6407" width="11" customWidth="1"/>
    <col min="6408" max="6408" width="9.42578125" bestFit="1" customWidth="1"/>
    <col min="6409" max="6409" width="10.42578125" bestFit="1" customWidth="1"/>
    <col min="6410" max="6410" width="3.5703125" customWidth="1"/>
    <col min="6411" max="6414" width="10" customWidth="1"/>
    <col min="6657" max="6657" width="6.5703125" customWidth="1"/>
    <col min="6658" max="6658" width="5.42578125" customWidth="1"/>
    <col min="6659" max="6659" width="10.85546875" customWidth="1"/>
    <col min="6660" max="6660" width="11" customWidth="1"/>
    <col min="6663" max="6663" width="11" customWidth="1"/>
    <col min="6664" max="6664" width="9.42578125" bestFit="1" customWidth="1"/>
    <col min="6665" max="6665" width="10.42578125" bestFit="1" customWidth="1"/>
    <col min="6666" max="6666" width="3.5703125" customWidth="1"/>
    <col min="6667" max="6670" width="10" customWidth="1"/>
    <col min="6913" max="6913" width="6.5703125" customWidth="1"/>
    <col min="6914" max="6914" width="5.42578125" customWidth="1"/>
    <col min="6915" max="6915" width="10.85546875" customWidth="1"/>
    <col min="6916" max="6916" width="11" customWidth="1"/>
    <col min="6919" max="6919" width="11" customWidth="1"/>
    <col min="6920" max="6920" width="9.42578125" bestFit="1" customWidth="1"/>
    <col min="6921" max="6921" width="10.42578125" bestFit="1" customWidth="1"/>
    <col min="6922" max="6922" width="3.5703125" customWidth="1"/>
    <col min="6923" max="6926" width="10" customWidth="1"/>
    <col min="7169" max="7169" width="6.5703125" customWidth="1"/>
    <col min="7170" max="7170" width="5.42578125" customWidth="1"/>
    <col min="7171" max="7171" width="10.85546875" customWidth="1"/>
    <col min="7172" max="7172" width="11" customWidth="1"/>
    <col min="7175" max="7175" width="11" customWidth="1"/>
    <col min="7176" max="7176" width="9.42578125" bestFit="1" customWidth="1"/>
    <col min="7177" max="7177" width="10.42578125" bestFit="1" customWidth="1"/>
    <col min="7178" max="7178" width="3.5703125" customWidth="1"/>
    <col min="7179" max="7182" width="10" customWidth="1"/>
    <col min="7425" max="7425" width="6.5703125" customWidth="1"/>
    <col min="7426" max="7426" width="5.42578125" customWidth="1"/>
    <col min="7427" max="7427" width="10.85546875" customWidth="1"/>
    <col min="7428" max="7428" width="11" customWidth="1"/>
    <col min="7431" max="7431" width="11" customWidth="1"/>
    <col min="7432" max="7432" width="9.42578125" bestFit="1" customWidth="1"/>
    <col min="7433" max="7433" width="10.42578125" bestFit="1" customWidth="1"/>
    <col min="7434" max="7434" width="3.5703125" customWidth="1"/>
    <col min="7435" max="7438" width="10" customWidth="1"/>
    <col min="7681" max="7681" width="6.5703125" customWidth="1"/>
    <col min="7682" max="7682" width="5.42578125" customWidth="1"/>
    <col min="7683" max="7683" width="10.85546875" customWidth="1"/>
    <col min="7684" max="7684" width="11" customWidth="1"/>
    <col min="7687" max="7687" width="11" customWidth="1"/>
    <col min="7688" max="7688" width="9.42578125" bestFit="1" customWidth="1"/>
    <col min="7689" max="7689" width="10.42578125" bestFit="1" customWidth="1"/>
    <col min="7690" max="7690" width="3.5703125" customWidth="1"/>
    <col min="7691" max="7694" width="10" customWidth="1"/>
    <col min="7937" max="7937" width="6.5703125" customWidth="1"/>
    <col min="7938" max="7938" width="5.42578125" customWidth="1"/>
    <col min="7939" max="7939" width="10.85546875" customWidth="1"/>
    <col min="7940" max="7940" width="11" customWidth="1"/>
    <col min="7943" max="7943" width="11" customWidth="1"/>
    <col min="7944" max="7944" width="9.42578125" bestFit="1" customWidth="1"/>
    <col min="7945" max="7945" width="10.42578125" bestFit="1" customWidth="1"/>
    <col min="7946" max="7946" width="3.5703125" customWidth="1"/>
    <col min="7947" max="7950" width="10" customWidth="1"/>
    <col min="8193" max="8193" width="6.5703125" customWidth="1"/>
    <col min="8194" max="8194" width="5.42578125" customWidth="1"/>
    <col min="8195" max="8195" width="10.85546875" customWidth="1"/>
    <col min="8196" max="8196" width="11" customWidth="1"/>
    <col min="8199" max="8199" width="11" customWidth="1"/>
    <col min="8200" max="8200" width="9.42578125" bestFit="1" customWidth="1"/>
    <col min="8201" max="8201" width="10.42578125" bestFit="1" customWidth="1"/>
    <col min="8202" max="8202" width="3.5703125" customWidth="1"/>
    <col min="8203" max="8206" width="10" customWidth="1"/>
    <col min="8449" max="8449" width="6.5703125" customWidth="1"/>
    <col min="8450" max="8450" width="5.42578125" customWidth="1"/>
    <col min="8451" max="8451" width="10.85546875" customWidth="1"/>
    <col min="8452" max="8452" width="11" customWidth="1"/>
    <col min="8455" max="8455" width="11" customWidth="1"/>
    <col min="8456" max="8456" width="9.42578125" bestFit="1" customWidth="1"/>
    <col min="8457" max="8457" width="10.42578125" bestFit="1" customWidth="1"/>
    <col min="8458" max="8458" width="3.5703125" customWidth="1"/>
    <col min="8459" max="8462" width="10" customWidth="1"/>
    <col min="8705" max="8705" width="6.5703125" customWidth="1"/>
    <col min="8706" max="8706" width="5.42578125" customWidth="1"/>
    <col min="8707" max="8707" width="10.85546875" customWidth="1"/>
    <col min="8708" max="8708" width="11" customWidth="1"/>
    <col min="8711" max="8711" width="11" customWidth="1"/>
    <col min="8712" max="8712" width="9.42578125" bestFit="1" customWidth="1"/>
    <col min="8713" max="8713" width="10.42578125" bestFit="1" customWidth="1"/>
    <col min="8714" max="8714" width="3.5703125" customWidth="1"/>
    <col min="8715" max="8718" width="10" customWidth="1"/>
    <col min="8961" max="8961" width="6.5703125" customWidth="1"/>
    <col min="8962" max="8962" width="5.42578125" customWidth="1"/>
    <col min="8963" max="8963" width="10.85546875" customWidth="1"/>
    <col min="8964" max="8964" width="11" customWidth="1"/>
    <col min="8967" max="8967" width="11" customWidth="1"/>
    <col min="8968" max="8968" width="9.42578125" bestFit="1" customWidth="1"/>
    <col min="8969" max="8969" width="10.42578125" bestFit="1" customWidth="1"/>
    <col min="8970" max="8970" width="3.5703125" customWidth="1"/>
    <col min="8971" max="8974" width="10" customWidth="1"/>
    <col min="9217" max="9217" width="6.5703125" customWidth="1"/>
    <col min="9218" max="9218" width="5.42578125" customWidth="1"/>
    <col min="9219" max="9219" width="10.85546875" customWidth="1"/>
    <col min="9220" max="9220" width="11" customWidth="1"/>
    <col min="9223" max="9223" width="11" customWidth="1"/>
    <col min="9224" max="9224" width="9.42578125" bestFit="1" customWidth="1"/>
    <col min="9225" max="9225" width="10.42578125" bestFit="1" customWidth="1"/>
    <col min="9226" max="9226" width="3.5703125" customWidth="1"/>
    <col min="9227" max="9230" width="10" customWidth="1"/>
    <col min="9473" max="9473" width="6.5703125" customWidth="1"/>
    <col min="9474" max="9474" width="5.42578125" customWidth="1"/>
    <col min="9475" max="9475" width="10.85546875" customWidth="1"/>
    <col min="9476" max="9476" width="11" customWidth="1"/>
    <col min="9479" max="9479" width="11" customWidth="1"/>
    <col min="9480" max="9480" width="9.42578125" bestFit="1" customWidth="1"/>
    <col min="9481" max="9481" width="10.42578125" bestFit="1" customWidth="1"/>
    <col min="9482" max="9482" width="3.5703125" customWidth="1"/>
    <col min="9483" max="9486" width="10" customWidth="1"/>
    <col min="9729" max="9729" width="6.5703125" customWidth="1"/>
    <col min="9730" max="9730" width="5.42578125" customWidth="1"/>
    <col min="9731" max="9731" width="10.85546875" customWidth="1"/>
    <col min="9732" max="9732" width="11" customWidth="1"/>
    <col min="9735" max="9735" width="11" customWidth="1"/>
    <col min="9736" max="9736" width="9.42578125" bestFit="1" customWidth="1"/>
    <col min="9737" max="9737" width="10.42578125" bestFit="1" customWidth="1"/>
    <col min="9738" max="9738" width="3.5703125" customWidth="1"/>
    <col min="9739" max="9742" width="10" customWidth="1"/>
    <col min="9985" max="9985" width="6.5703125" customWidth="1"/>
    <col min="9986" max="9986" width="5.42578125" customWidth="1"/>
    <col min="9987" max="9987" width="10.85546875" customWidth="1"/>
    <col min="9988" max="9988" width="11" customWidth="1"/>
    <col min="9991" max="9991" width="11" customWidth="1"/>
    <col min="9992" max="9992" width="9.42578125" bestFit="1" customWidth="1"/>
    <col min="9993" max="9993" width="10.42578125" bestFit="1" customWidth="1"/>
    <col min="9994" max="9994" width="3.5703125" customWidth="1"/>
    <col min="9995" max="9998" width="10" customWidth="1"/>
    <col min="10241" max="10241" width="6.5703125" customWidth="1"/>
    <col min="10242" max="10242" width="5.42578125" customWidth="1"/>
    <col min="10243" max="10243" width="10.85546875" customWidth="1"/>
    <col min="10244" max="10244" width="11" customWidth="1"/>
    <col min="10247" max="10247" width="11" customWidth="1"/>
    <col min="10248" max="10248" width="9.42578125" bestFit="1" customWidth="1"/>
    <col min="10249" max="10249" width="10.42578125" bestFit="1" customWidth="1"/>
    <col min="10250" max="10250" width="3.5703125" customWidth="1"/>
    <col min="10251" max="10254" width="10" customWidth="1"/>
    <col min="10497" max="10497" width="6.5703125" customWidth="1"/>
    <col min="10498" max="10498" width="5.42578125" customWidth="1"/>
    <col min="10499" max="10499" width="10.85546875" customWidth="1"/>
    <col min="10500" max="10500" width="11" customWidth="1"/>
    <col min="10503" max="10503" width="11" customWidth="1"/>
    <col min="10504" max="10504" width="9.42578125" bestFit="1" customWidth="1"/>
    <col min="10505" max="10505" width="10.42578125" bestFit="1" customWidth="1"/>
    <col min="10506" max="10506" width="3.5703125" customWidth="1"/>
    <col min="10507" max="10510" width="10" customWidth="1"/>
    <col min="10753" max="10753" width="6.5703125" customWidth="1"/>
    <col min="10754" max="10754" width="5.42578125" customWidth="1"/>
    <col min="10755" max="10755" width="10.85546875" customWidth="1"/>
    <col min="10756" max="10756" width="11" customWidth="1"/>
    <col min="10759" max="10759" width="11" customWidth="1"/>
    <col min="10760" max="10760" width="9.42578125" bestFit="1" customWidth="1"/>
    <col min="10761" max="10761" width="10.42578125" bestFit="1" customWidth="1"/>
    <col min="10762" max="10762" width="3.5703125" customWidth="1"/>
    <col min="10763" max="10766" width="10" customWidth="1"/>
    <col min="11009" max="11009" width="6.5703125" customWidth="1"/>
    <col min="11010" max="11010" width="5.42578125" customWidth="1"/>
    <col min="11011" max="11011" width="10.85546875" customWidth="1"/>
    <col min="11012" max="11012" width="11" customWidth="1"/>
    <col min="11015" max="11015" width="11" customWidth="1"/>
    <col min="11016" max="11016" width="9.42578125" bestFit="1" customWidth="1"/>
    <col min="11017" max="11017" width="10.42578125" bestFit="1" customWidth="1"/>
    <col min="11018" max="11018" width="3.5703125" customWidth="1"/>
    <col min="11019" max="11022" width="10" customWidth="1"/>
    <col min="11265" max="11265" width="6.5703125" customWidth="1"/>
    <col min="11266" max="11266" width="5.42578125" customWidth="1"/>
    <col min="11267" max="11267" width="10.85546875" customWidth="1"/>
    <col min="11268" max="11268" width="11" customWidth="1"/>
    <col min="11271" max="11271" width="11" customWidth="1"/>
    <col min="11272" max="11272" width="9.42578125" bestFit="1" customWidth="1"/>
    <col min="11273" max="11273" width="10.42578125" bestFit="1" customWidth="1"/>
    <col min="11274" max="11274" width="3.5703125" customWidth="1"/>
    <col min="11275" max="11278" width="10" customWidth="1"/>
    <col min="11521" max="11521" width="6.5703125" customWidth="1"/>
    <col min="11522" max="11522" width="5.42578125" customWidth="1"/>
    <col min="11523" max="11523" width="10.85546875" customWidth="1"/>
    <col min="11524" max="11524" width="11" customWidth="1"/>
    <col min="11527" max="11527" width="11" customWidth="1"/>
    <col min="11528" max="11528" width="9.42578125" bestFit="1" customWidth="1"/>
    <col min="11529" max="11529" width="10.42578125" bestFit="1" customWidth="1"/>
    <col min="11530" max="11530" width="3.5703125" customWidth="1"/>
    <col min="11531" max="11534" width="10" customWidth="1"/>
    <col min="11777" max="11777" width="6.5703125" customWidth="1"/>
    <col min="11778" max="11778" width="5.42578125" customWidth="1"/>
    <col min="11779" max="11779" width="10.85546875" customWidth="1"/>
    <col min="11780" max="11780" width="11" customWidth="1"/>
    <col min="11783" max="11783" width="11" customWidth="1"/>
    <col min="11784" max="11784" width="9.42578125" bestFit="1" customWidth="1"/>
    <col min="11785" max="11785" width="10.42578125" bestFit="1" customWidth="1"/>
    <col min="11786" max="11786" width="3.5703125" customWidth="1"/>
    <col min="11787" max="11790" width="10" customWidth="1"/>
    <col min="12033" max="12033" width="6.5703125" customWidth="1"/>
    <col min="12034" max="12034" width="5.42578125" customWidth="1"/>
    <col min="12035" max="12035" width="10.85546875" customWidth="1"/>
    <col min="12036" max="12036" width="11" customWidth="1"/>
    <col min="12039" max="12039" width="11" customWidth="1"/>
    <col min="12040" max="12040" width="9.42578125" bestFit="1" customWidth="1"/>
    <col min="12041" max="12041" width="10.42578125" bestFit="1" customWidth="1"/>
    <col min="12042" max="12042" width="3.5703125" customWidth="1"/>
    <col min="12043" max="12046" width="10" customWidth="1"/>
    <col min="12289" max="12289" width="6.5703125" customWidth="1"/>
    <col min="12290" max="12290" width="5.42578125" customWidth="1"/>
    <col min="12291" max="12291" width="10.85546875" customWidth="1"/>
    <col min="12292" max="12292" width="11" customWidth="1"/>
    <col min="12295" max="12295" width="11" customWidth="1"/>
    <col min="12296" max="12296" width="9.42578125" bestFit="1" customWidth="1"/>
    <col min="12297" max="12297" width="10.42578125" bestFit="1" customWidth="1"/>
    <col min="12298" max="12298" width="3.5703125" customWidth="1"/>
    <col min="12299" max="12302" width="10" customWidth="1"/>
    <col min="12545" max="12545" width="6.5703125" customWidth="1"/>
    <col min="12546" max="12546" width="5.42578125" customWidth="1"/>
    <col min="12547" max="12547" width="10.85546875" customWidth="1"/>
    <col min="12548" max="12548" width="11" customWidth="1"/>
    <col min="12551" max="12551" width="11" customWidth="1"/>
    <col min="12552" max="12552" width="9.42578125" bestFit="1" customWidth="1"/>
    <col min="12553" max="12553" width="10.42578125" bestFit="1" customWidth="1"/>
    <col min="12554" max="12554" width="3.5703125" customWidth="1"/>
    <col min="12555" max="12558" width="10" customWidth="1"/>
    <col min="12801" max="12801" width="6.5703125" customWidth="1"/>
    <col min="12802" max="12802" width="5.42578125" customWidth="1"/>
    <col min="12803" max="12803" width="10.85546875" customWidth="1"/>
    <col min="12804" max="12804" width="11" customWidth="1"/>
    <col min="12807" max="12807" width="11" customWidth="1"/>
    <col min="12808" max="12808" width="9.42578125" bestFit="1" customWidth="1"/>
    <col min="12809" max="12809" width="10.42578125" bestFit="1" customWidth="1"/>
    <col min="12810" max="12810" width="3.5703125" customWidth="1"/>
    <col min="12811" max="12814" width="10" customWidth="1"/>
    <col min="13057" max="13057" width="6.5703125" customWidth="1"/>
    <col min="13058" max="13058" width="5.42578125" customWidth="1"/>
    <col min="13059" max="13059" width="10.85546875" customWidth="1"/>
    <col min="13060" max="13060" width="11" customWidth="1"/>
    <col min="13063" max="13063" width="11" customWidth="1"/>
    <col min="13064" max="13064" width="9.42578125" bestFit="1" customWidth="1"/>
    <col min="13065" max="13065" width="10.42578125" bestFit="1" customWidth="1"/>
    <col min="13066" max="13066" width="3.5703125" customWidth="1"/>
    <col min="13067" max="13070" width="10" customWidth="1"/>
    <col min="13313" max="13313" width="6.5703125" customWidth="1"/>
    <col min="13314" max="13314" width="5.42578125" customWidth="1"/>
    <col min="13315" max="13315" width="10.85546875" customWidth="1"/>
    <col min="13316" max="13316" width="11" customWidth="1"/>
    <col min="13319" max="13319" width="11" customWidth="1"/>
    <col min="13320" max="13320" width="9.42578125" bestFit="1" customWidth="1"/>
    <col min="13321" max="13321" width="10.42578125" bestFit="1" customWidth="1"/>
    <col min="13322" max="13322" width="3.5703125" customWidth="1"/>
    <col min="13323" max="13326" width="10" customWidth="1"/>
    <col min="13569" max="13569" width="6.5703125" customWidth="1"/>
    <col min="13570" max="13570" width="5.42578125" customWidth="1"/>
    <col min="13571" max="13571" width="10.85546875" customWidth="1"/>
    <col min="13572" max="13572" width="11" customWidth="1"/>
    <col min="13575" max="13575" width="11" customWidth="1"/>
    <col min="13576" max="13576" width="9.42578125" bestFit="1" customWidth="1"/>
    <col min="13577" max="13577" width="10.42578125" bestFit="1" customWidth="1"/>
    <col min="13578" max="13578" width="3.5703125" customWidth="1"/>
    <col min="13579" max="13582" width="10" customWidth="1"/>
    <col min="13825" max="13825" width="6.5703125" customWidth="1"/>
    <col min="13826" max="13826" width="5.42578125" customWidth="1"/>
    <col min="13827" max="13827" width="10.85546875" customWidth="1"/>
    <col min="13828" max="13828" width="11" customWidth="1"/>
    <col min="13831" max="13831" width="11" customWidth="1"/>
    <col min="13832" max="13832" width="9.42578125" bestFit="1" customWidth="1"/>
    <col min="13833" max="13833" width="10.42578125" bestFit="1" customWidth="1"/>
    <col min="13834" max="13834" width="3.5703125" customWidth="1"/>
    <col min="13835" max="13838" width="10" customWidth="1"/>
    <col min="14081" max="14081" width="6.5703125" customWidth="1"/>
    <col min="14082" max="14082" width="5.42578125" customWidth="1"/>
    <col min="14083" max="14083" width="10.85546875" customWidth="1"/>
    <col min="14084" max="14084" width="11" customWidth="1"/>
    <col min="14087" max="14087" width="11" customWidth="1"/>
    <col min="14088" max="14088" width="9.42578125" bestFit="1" customWidth="1"/>
    <col min="14089" max="14089" width="10.42578125" bestFit="1" customWidth="1"/>
    <col min="14090" max="14090" width="3.5703125" customWidth="1"/>
    <col min="14091" max="14094" width="10" customWidth="1"/>
    <col min="14337" max="14337" width="6.5703125" customWidth="1"/>
    <col min="14338" max="14338" width="5.42578125" customWidth="1"/>
    <col min="14339" max="14339" width="10.85546875" customWidth="1"/>
    <col min="14340" max="14340" width="11" customWidth="1"/>
    <col min="14343" max="14343" width="11" customWidth="1"/>
    <col min="14344" max="14344" width="9.42578125" bestFit="1" customWidth="1"/>
    <col min="14345" max="14345" width="10.42578125" bestFit="1" customWidth="1"/>
    <col min="14346" max="14346" width="3.5703125" customWidth="1"/>
    <col min="14347" max="14350" width="10" customWidth="1"/>
    <col min="14593" max="14593" width="6.5703125" customWidth="1"/>
    <col min="14594" max="14594" width="5.42578125" customWidth="1"/>
    <col min="14595" max="14595" width="10.85546875" customWidth="1"/>
    <col min="14596" max="14596" width="11" customWidth="1"/>
    <col min="14599" max="14599" width="11" customWidth="1"/>
    <col min="14600" max="14600" width="9.42578125" bestFit="1" customWidth="1"/>
    <col min="14601" max="14601" width="10.42578125" bestFit="1" customWidth="1"/>
    <col min="14602" max="14602" width="3.5703125" customWidth="1"/>
    <col min="14603" max="14606" width="10" customWidth="1"/>
    <col min="14849" max="14849" width="6.5703125" customWidth="1"/>
    <col min="14850" max="14850" width="5.42578125" customWidth="1"/>
    <col min="14851" max="14851" width="10.85546875" customWidth="1"/>
    <col min="14852" max="14852" width="11" customWidth="1"/>
    <col min="14855" max="14855" width="11" customWidth="1"/>
    <col min="14856" max="14856" width="9.42578125" bestFit="1" customWidth="1"/>
    <col min="14857" max="14857" width="10.42578125" bestFit="1" customWidth="1"/>
    <col min="14858" max="14858" width="3.5703125" customWidth="1"/>
    <col min="14859" max="14862" width="10" customWidth="1"/>
    <col min="15105" max="15105" width="6.5703125" customWidth="1"/>
    <col min="15106" max="15106" width="5.42578125" customWidth="1"/>
    <col min="15107" max="15107" width="10.85546875" customWidth="1"/>
    <col min="15108" max="15108" width="11" customWidth="1"/>
    <col min="15111" max="15111" width="11" customWidth="1"/>
    <col min="15112" max="15112" width="9.42578125" bestFit="1" customWidth="1"/>
    <col min="15113" max="15113" width="10.42578125" bestFit="1" customWidth="1"/>
    <col min="15114" max="15114" width="3.5703125" customWidth="1"/>
    <col min="15115" max="15118" width="10" customWidth="1"/>
    <col min="15361" max="15361" width="6.5703125" customWidth="1"/>
    <col min="15362" max="15362" width="5.42578125" customWidth="1"/>
    <col min="15363" max="15363" width="10.85546875" customWidth="1"/>
    <col min="15364" max="15364" width="11" customWidth="1"/>
    <col min="15367" max="15367" width="11" customWidth="1"/>
    <col min="15368" max="15368" width="9.42578125" bestFit="1" customWidth="1"/>
    <col min="15369" max="15369" width="10.42578125" bestFit="1" customWidth="1"/>
    <col min="15370" max="15370" width="3.5703125" customWidth="1"/>
    <col min="15371" max="15374" width="10" customWidth="1"/>
    <col min="15617" max="15617" width="6.5703125" customWidth="1"/>
    <col min="15618" max="15618" width="5.42578125" customWidth="1"/>
    <col min="15619" max="15619" width="10.85546875" customWidth="1"/>
    <col min="15620" max="15620" width="11" customWidth="1"/>
    <col min="15623" max="15623" width="11" customWidth="1"/>
    <col min="15624" max="15624" width="9.42578125" bestFit="1" customWidth="1"/>
    <col min="15625" max="15625" width="10.42578125" bestFit="1" customWidth="1"/>
    <col min="15626" max="15626" width="3.5703125" customWidth="1"/>
    <col min="15627" max="15630" width="10" customWidth="1"/>
    <col min="15873" max="15873" width="6.5703125" customWidth="1"/>
    <col min="15874" max="15874" width="5.42578125" customWidth="1"/>
    <col min="15875" max="15875" width="10.85546875" customWidth="1"/>
    <col min="15876" max="15876" width="11" customWidth="1"/>
    <col min="15879" max="15879" width="11" customWidth="1"/>
    <col min="15880" max="15880" width="9.42578125" bestFit="1" customWidth="1"/>
    <col min="15881" max="15881" width="10.42578125" bestFit="1" customWidth="1"/>
    <col min="15882" max="15882" width="3.5703125" customWidth="1"/>
    <col min="15883" max="15886" width="10" customWidth="1"/>
    <col min="16129" max="16129" width="6.5703125" customWidth="1"/>
    <col min="16130" max="16130" width="5.42578125" customWidth="1"/>
    <col min="16131" max="16131" width="10.85546875" customWidth="1"/>
    <col min="16132" max="16132" width="11" customWidth="1"/>
    <col min="16135" max="16135" width="11" customWidth="1"/>
    <col min="16136" max="16136" width="9.42578125" bestFit="1" customWidth="1"/>
    <col min="16137" max="16137" width="10.42578125" bestFit="1" customWidth="1"/>
    <col min="16138" max="16138" width="3.5703125" customWidth="1"/>
    <col min="16139" max="16142" width="10" customWidth="1"/>
  </cols>
  <sheetData>
    <row r="1" spans="1:15" ht="27.75" x14ac:dyDescent="0.65">
      <c r="A1" s="107" t="str">
        <f>'Fix Cost'!A1:D1</f>
        <v>Labour control sheet</v>
      </c>
      <c r="B1" s="107"/>
      <c r="C1" s="107"/>
      <c r="D1" s="107"/>
      <c r="E1" s="107"/>
      <c r="F1" s="56"/>
      <c r="G1" s="56"/>
      <c r="H1" s="56"/>
      <c r="I1" s="108"/>
      <c r="J1" s="108"/>
      <c r="K1" s="56"/>
      <c r="L1" s="56"/>
      <c r="M1" s="56"/>
      <c r="N1" s="57"/>
    </row>
    <row r="2" spans="1:15" ht="26.25" x14ac:dyDescent="0.55000000000000004">
      <c r="A2" s="58" t="s">
        <v>47</v>
      </c>
      <c r="B2" s="59"/>
      <c r="C2" s="101">
        <v>45870</v>
      </c>
      <c r="D2" s="60" t="s">
        <v>48</v>
      </c>
      <c r="E2" s="61">
        <f>'Fix Cost'!M30</f>
        <v>0.14000000000000001</v>
      </c>
      <c r="F2" s="62"/>
      <c r="G2" s="62"/>
      <c r="H2" s="62"/>
      <c r="I2" s="62"/>
      <c r="J2" s="62"/>
      <c r="M2" s="63"/>
      <c r="N2" s="63"/>
    </row>
    <row r="3" spans="1:15" ht="12.75" customHeight="1" x14ac:dyDescent="0.55000000000000004">
      <c r="A3" s="63"/>
      <c r="B3" s="63"/>
      <c r="C3" s="64"/>
      <c r="D3" s="63"/>
      <c r="E3" s="62"/>
      <c r="F3" s="62"/>
      <c r="G3" s="62"/>
      <c r="H3" s="62"/>
      <c r="I3" s="62"/>
      <c r="J3" s="62"/>
      <c r="M3" s="63"/>
      <c r="N3" s="63"/>
    </row>
    <row r="4" spans="1:15" s="69" customFormat="1" ht="33" customHeight="1" thickBot="1" x14ac:dyDescent="0.6">
      <c r="A4" s="109" t="s">
        <v>49</v>
      </c>
      <c r="B4" s="110"/>
      <c r="C4" s="110"/>
      <c r="D4" s="110"/>
      <c r="E4" s="105">
        <v>50</v>
      </c>
      <c r="F4" s="65" t="s">
        <v>50</v>
      </c>
      <c r="G4" s="106">
        <v>50</v>
      </c>
      <c r="H4" s="66"/>
      <c r="I4" s="67"/>
      <c r="J4" s="68"/>
      <c r="K4" s="68"/>
      <c r="L4" s="68"/>
      <c r="M4" s="68"/>
      <c r="N4" s="68"/>
    </row>
    <row r="5" spans="1:15" ht="43.5" customHeight="1" thickBot="1" x14ac:dyDescent="0.5">
      <c r="A5" s="70" t="s">
        <v>51</v>
      </c>
      <c r="B5" s="71" t="s">
        <v>52</v>
      </c>
      <c r="C5" s="72" t="s">
        <v>53</v>
      </c>
      <c r="D5" s="72" t="s">
        <v>54</v>
      </c>
      <c r="E5" s="73" t="s">
        <v>55</v>
      </c>
      <c r="F5" s="74" t="s">
        <v>56</v>
      </c>
      <c r="G5" s="75" t="s">
        <v>57</v>
      </c>
      <c r="H5" s="71" t="s">
        <v>58</v>
      </c>
      <c r="I5" s="76" t="s">
        <v>59</v>
      </c>
      <c r="J5" s="77"/>
      <c r="K5" s="78" t="s">
        <v>60</v>
      </c>
      <c r="L5" s="79" t="s">
        <v>61</v>
      </c>
      <c r="M5" s="79" t="s">
        <v>62</v>
      </c>
      <c r="N5" s="80" t="s">
        <v>63</v>
      </c>
      <c r="O5" s="81" t="s">
        <v>64</v>
      </c>
    </row>
    <row r="6" spans="1:15" ht="24" x14ac:dyDescent="0.55000000000000004">
      <c r="A6" s="82">
        <f>C2</f>
        <v>45870</v>
      </c>
      <c r="B6" s="83">
        <f>A6</f>
        <v>45870</v>
      </c>
      <c r="C6" s="84">
        <f>'Fix Cost'!$H$36</f>
        <v>4754.8387096774195</v>
      </c>
      <c r="D6" s="102"/>
      <c r="E6" s="85">
        <f>D6*$E$4</f>
        <v>0</v>
      </c>
      <c r="F6" s="104"/>
      <c r="G6" s="86">
        <f>F6*$G$4</f>
        <v>0</v>
      </c>
      <c r="H6" s="87">
        <f>C6+E6+G6</f>
        <v>4754.8387096774195</v>
      </c>
      <c r="I6" s="87">
        <f>H6</f>
        <v>4754.8387096774195</v>
      </c>
      <c r="J6" s="88"/>
      <c r="K6" s="98"/>
      <c r="L6" s="87">
        <f>K6</f>
        <v>0</v>
      </c>
      <c r="M6" s="89" t="e">
        <f>SUM(H6/K6)</f>
        <v>#DIV/0!</v>
      </c>
      <c r="N6" s="90" t="e">
        <f>SUM(I6/L6)</f>
        <v>#DIV/0!</v>
      </c>
      <c r="O6" s="91" t="e">
        <f t="shared" ref="O6:O37" si="0">N6-$E$2</f>
        <v>#DIV/0!</v>
      </c>
    </row>
    <row r="7" spans="1:15" ht="24" x14ac:dyDescent="0.55000000000000004">
      <c r="A7" s="92">
        <f>A6+1</f>
        <v>45871</v>
      </c>
      <c r="B7" s="83">
        <f>A7</f>
        <v>45871</v>
      </c>
      <c r="C7" s="84">
        <f>'Fix Cost'!$H$36</f>
        <v>4754.8387096774195</v>
      </c>
      <c r="D7" s="102"/>
      <c r="E7" s="85">
        <f t="shared" ref="E7:E36" si="1">D7*$E$4</f>
        <v>0</v>
      </c>
      <c r="F7" s="104"/>
      <c r="G7" s="86">
        <f t="shared" ref="G7:G36" si="2">F7*$G$4</f>
        <v>0</v>
      </c>
      <c r="H7" s="87">
        <f t="shared" ref="H7:H36" si="3">C7+E7+G7</f>
        <v>4754.8387096774195</v>
      </c>
      <c r="I7" s="93">
        <f>SUM(I6+H7)</f>
        <v>9509.677419354839</v>
      </c>
      <c r="J7" s="88"/>
      <c r="K7" s="98"/>
      <c r="L7" s="93">
        <f>SUM(L6+K7)</f>
        <v>0</v>
      </c>
      <c r="M7" s="89" t="e">
        <f t="shared" ref="M7:N37" si="4">SUM(H7/K7)</f>
        <v>#DIV/0!</v>
      </c>
      <c r="N7" s="90" t="e">
        <f t="shared" si="4"/>
        <v>#DIV/0!</v>
      </c>
      <c r="O7" s="91" t="e">
        <f t="shared" si="0"/>
        <v>#DIV/0!</v>
      </c>
    </row>
    <row r="8" spans="1:15" ht="24" x14ac:dyDescent="0.55000000000000004">
      <c r="A8" s="92">
        <f t="shared" ref="A8:A36" si="5">A7+1</f>
        <v>45872</v>
      </c>
      <c r="B8" s="83">
        <f t="shared" ref="B8:B36" si="6">A8</f>
        <v>45872</v>
      </c>
      <c r="C8" s="84">
        <f>'Fix Cost'!$H$36</f>
        <v>4754.8387096774195</v>
      </c>
      <c r="D8" s="102"/>
      <c r="E8" s="85">
        <f t="shared" si="1"/>
        <v>0</v>
      </c>
      <c r="F8" s="104"/>
      <c r="G8" s="86">
        <f t="shared" si="2"/>
        <v>0</v>
      </c>
      <c r="H8" s="87">
        <f>C8+E8+G8</f>
        <v>4754.8387096774195</v>
      </c>
      <c r="I8" s="93">
        <f>SUM(I7+H8)</f>
        <v>14264.516129032258</v>
      </c>
      <c r="J8" s="88"/>
      <c r="K8" s="98"/>
      <c r="L8" s="93">
        <f t="shared" ref="L8:L36" si="7">SUM(L7+K8)</f>
        <v>0</v>
      </c>
      <c r="M8" s="89" t="e">
        <f t="shared" si="4"/>
        <v>#DIV/0!</v>
      </c>
      <c r="N8" s="90" t="e">
        <f t="shared" si="4"/>
        <v>#DIV/0!</v>
      </c>
      <c r="O8" s="91" t="e">
        <f t="shared" si="0"/>
        <v>#DIV/0!</v>
      </c>
    </row>
    <row r="9" spans="1:15" ht="24" x14ac:dyDescent="0.55000000000000004">
      <c r="A9" s="92">
        <f t="shared" si="5"/>
        <v>45873</v>
      </c>
      <c r="B9" s="83">
        <f t="shared" si="6"/>
        <v>45873</v>
      </c>
      <c r="C9" s="84">
        <f>'Fix Cost'!$H$36</f>
        <v>4754.8387096774195</v>
      </c>
      <c r="D9" s="102"/>
      <c r="E9" s="85">
        <f t="shared" si="1"/>
        <v>0</v>
      </c>
      <c r="F9" s="104"/>
      <c r="G9" s="86">
        <f t="shared" si="2"/>
        <v>0</v>
      </c>
      <c r="H9" s="87">
        <f t="shared" si="3"/>
        <v>4754.8387096774195</v>
      </c>
      <c r="I9" s="93">
        <f t="shared" ref="I9:I36" si="8">SUM(I8+H9)</f>
        <v>19019.354838709678</v>
      </c>
      <c r="J9" s="88"/>
      <c r="K9" s="98"/>
      <c r="L9" s="93">
        <f t="shared" si="7"/>
        <v>0</v>
      </c>
      <c r="M9" s="89" t="e">
        <f t="shared" si="4"/>
        <v>#DIV/0!</v>
      </c>
      <c r="N9" s="90" t="e">
        <f t="shared" si="4"/>
        <v>#DIV/0!</v>
      </c>
      <c r="O9" s="91" t="e">
        <f t="shared" si="0"/>
        <v>#DIV/0!</v>
      </c>
    </row>
    <row r="10" spans="1:15" ht="24" x14ac:dyDescent="0.55000000000000004">
      <c r="A10" s="92">
        <f t="shared" si="5"/>
        <v>45874</v>
      </c>
      <c r="B10" s="83">
        <f t="shared" si="6"/>
        <v>45874</v>
      </c>
      <c r="C10" s="84">
        <f>'Fix Cost'!$H$36</f>
        <v>4754.8387096774195</v>
      </c>
      <c r="D10" s="102"/>
      <c r="E10" s="85">
        <f t="shared" si="1"/>
        <v>0</v>
      </c>
      <c r="F10" s="104"/>
      <c r="G10" s="86">
        <f t="shared" si="2"/>
        <v>0</v>
      </c>
      <c r="H10" s="87">
        <f t="shared" si="3"/>
        <v>4754.8387096774195</v>
      </c>
      <c r="I10" s="93">
        <f t="shared" si="8"/>
        <v>23774.193548387098</v>
      </c>
      <c r="J10" s="88"/>
      <c r="K10" s="98"/>
      <c r="L10" s="93">
        <f t="shared" si="7"/>
        <v>0</v>
      </c>
      <c r="M10" s="89" t="e">
        <f t="shared" si="4"/>
        <v>#DIV/0!</v>
      </c>
      <c r="N10" s="90" t="e">
        <f t="shared" si="4"/>
        <v>#DIV/0!</v>
      </c>
      <c r="O10" s="91" t="e">
        <f t="shared" si="0"/>
        <v>#DIV/0!</v>
      </c>
    </row>
    <row r="11" spans="1:15" ht="24" x14ac:dyDescent="0.55000000000000004">
      <c r="A11" s="92">
        <f t="shared" si="5"/>
        <v>45875</v>
      </c>
      <c r="B11" s="83">
        <f t="shared" si="6"/>
        <v>45875</v>
      </c>
      <c r="C11" s="84">
        <f>'Fix Cost'!$H$36</f>
        <v>4754.8387096774195</v>
      </c>
      <c r="D11" s="102"/>
      <c r="E11" s="85">
        <f t="shared" si="1"/>
        <v>0</v>
      </c>
      <c r="F11" s="104"/>
      <c r="G11" s="86">
        <f t="shared" si="2"/>
        <v>0</v>
      </c>
      <c r="H11" s="87">
        <f t="shared" si="3"/>
        <v>4754.8387096774195</v>
      </c>
      <c r="I11" s="93">
        <f t="shared" si="8"/>
        <v>28529.032258064519</v>
      </c>
      <c r="J11" s="88"/>
      <c r="K11" s="98"/>
      <c r="L11" s="93">
        <f t="shared" si="7"/>
        <v>0</v>
      </c>
      <c r="M11" s="89" t="e">
        <f t="shared" si="4"/>
        <v>#DIV/0!</v>
      </c>
      <c r="N11" s="90" t="e">
        <f t="shared" si="4"/>
        <v>#DIV/0!</v>
      </c>
      <c r="O11" s="91" t="e">
        <f t="shared" si="0"/>
        <v>#DIV/0!</v>
      </c>
    </row>
    <row r="12" spans="1:15" ht="24" x14ac:dyDescent="0.55000000000000004">
      <c r="A12" s="92">
        <f t="shared" si="5"/>
        <v>45876</v>
      </c>
      <c r="B12" s="83">
        <f t="shared" si="6"/>
        <v>45876</v>
      </c>
      <c r="C12" s="84">
        <f>'Fix Cost'!$H$36</f>
        <v>4754.8387096774195</v>
      </c>
      <c r="D12" s="102"/>
      <c r="E12" s="85">
        <f t="shared" si="1"/>
        <v>0</v>
      </c>
      <c r="F12" s="104"/>
      <c r="G12" s="86">
        <f t="shared" si="2"/>
        <v>0</v>
      </c>
      <c r="H12" s="87">
        <f t="shared" si="3"/>
        <v>4754.8387096774195</v>
      </c>
      <c r="I12" s="93">
        <f t="shared" si="8"/>
        <v>33283.870967741939</v>
      </c>
      <c r="J12" s="88"/>
      <c r="K12" s="98"/>
      <c r="L12" s="93">
        <f t="shared" si="7"/>
        <v>0</v>
      </c>
      <c r="M12" s="89" t="e">
        <f t="shared" si="4"/>
        <v>#DIV/0!</v>
      </c>
      <c r="N12" s="90" t="e">
        <f t="shared" si="4"/>
        <v>#DIV/0!</v>
      </c>
      <c r="O12" s="91" t="e">
        <f t="shared" si="0"/>
        <v>#DIV/0!</v>
      </c>
    </row>
    <row r="13" spans="1:15" ht="24" x14ac:dyDescent="0.55000000000000004">
      <c r="A13" s="92">
        <f t="shared" si="5"/>
        <v>45877</v>
      </c>
      <c r="B13" s="83">
        <f t="shared" si="6"/>
        <v>45877</v>
      </c>
      <c r="C13" s="84">
        <f>'Fix Cost'!$H$36</f>
        <v>4754.8387096774195</v>
      </c>
      <c r="D13" s="102"/>
      <c r="E13" s="85">
        <f t="shared" si="1"/>
        <v>0</v>
      </c>
      <c r="F13" s="104"/>
      <c r="G13" s="86">
        <f t="shared" si="2"/>
        <v>0</v>
      </c>
      <c r="H13" s="87">
        <f t="shared" si="3"/>
        <v>4754.8387096774195</v>
      </c>
      <c r="I13" s="93">
        <f t="shared" si="8"/>
        <v>38038.709677419356</v>
      </c>
      <c r="J13" s="88"/>
      <c r="K13" s="98"/>
      <c r="L13" s="93">
        <f t="shared" si="7"/>
        <v>0</v>
      </c>
      <c r="M13" s="89" t="e">
        <f t="shared" si="4"/>
        <v>#DIV/0!</v>
      </c>
      <c r="N13" s="90" t="e">
        <f t="shared" si="4"/>
        <v>#DIV/0!</v>
      </c>
      <c r="O13" s="91" t="e">
        <f t="shared" si="0"/>
        <v>#DIV/0!</v>
      </c>
    </row>
    <row r="14" spans="1:15" ht="24" x14ac:dyDescent="0.55000000000000004">
      <c r="A14" s="92">
        <f t="shared" si="5"/>
        <v>45878</v>
      </c>
      <c r="B14" s="83">
        <f t="shared" si="6"/>
        <v>45878</v>
      </c>
      <c r="C14" s="84">
        <f>'Fix Cost'!$H$36</f>
        <v>4754.8387096774195</v>
      </c>
      <c r="D14" s="102"/>
      <c r="E14" s="85">
        <f t="shared" si="1"/>
        <v>0</v>
      </c>
      <c r="F14" s="104"/>
      <c r="G14" s="86">
        <f t="shared" si="2"/>
        <v>0</v>
      </c>
      <c r="H14" s="87">
        <f t="shared" si="3"/>
        <v>4754.8387096774195</v>
      </c>
      <c r="I14" s="93">
        <f t="shared" si="8"/>
        <v>42793.548387096773</v>
      </c>
      <c r="J14" s="88"/>
      <c r="K14" s="98"/>
      <c r="L14" s="93">
        <f t="shared" si="7"/>
        <v>0</v>
      </c>
      <c r="M14" s="89" t="e">
        <f t="shared" si="4"/>
        <v>#DIV/0!</v>
      </c>
      <c r="N14" s="90" t="e">
        <f t="shared" si="4"/>
        <v>#DIV/0!</v>
      </c>
      <c r="O14" s="91" t="e">
        <f t="shared" si="0"/>
        <v>#DIV/0!</v>
      </c>
    </row>
    <row r="15" spans="1:15" ht="24" x14ac:dyDescent="0.55000000000000004">
      <c r="A15" s="92">
        <f t="shared" si="5"/>
        <v>45879</v>
      </c>
      <c r="B15" s="83">
        <f t="shared" si="6"/>
        <v>45879</v>
      </c>
      <c r="C15" s="84">
        <f>'Fix Cost'!$H$36</f>
        <v>4754.8387096774195</v>
      </c>
      <c r="D15" s="102"/>
      <c r="E15" s="85">
        <f t="shared" si="1"/>
        <v>0</v>
      </c>
      <c r="F15" s="104"/>
      <c r="G15" s="86">
        <f t="shared" si="2"/>
        <v>0</v>
      </c>
      <c r="H15" s="87">
        <f t="shared" si="3"/>
        <v>4754.8387096774195</v>
      </c>
      <c r="I15" s="93">
        <f t="shared" si="8"/>
        <v>47548.38709677419</v>
      </c>
      <c r="J15" s="88"/>
      <c r="K15" s="98"/>
      <c r="L15" s="93">
        <f t="shared" si="7"/>
        <v>0</v>
      </c>
      <c r="M15" s="89" t="e">
        <f t="shared" si="4"/>
        <v>#DIV/0!</v>
      </c>
      <c r="N15" s="90" t="e">
        <f t="shared" si="4"/>
        <v>#DIV/0!</v>
      </c>
      <c r="O15" s="91" t="e">
        <f t="shared" si="0"/>
        <v>#DIV/0!</v>
      </c>
    </row>
    <row r="16" spans="1:15" ht="24" x14ac:dyDescent="0.55000000000000004">
      <c r="A16" s="92">
        <f t="shared" si="5"/>
        <v>45880</v>
      </c>
      <c r="B16" s="83">
        <f t="shared" si="6"/>
        <v>45880</v>
      </c>
      <c r="C16" s="84">
        <f>'Fix Cost'!$H$36</f>
        <v>4754.8387096774195</v>
      </c>
      <c r="D16" s="102"/>
      <c r="E16" s="85">
        <f>D16*$E$4</f>
        <v>0</v>
      </c>
      <c r="F16" s="104"/>
      <c r="G16" s="86">
        <f t="shared" si="2"/>
        <v>0</v>
      </c>
      <c r="H16" s="87">
        <f t="shared" si="3"/>
        <v>4754.8387096774195</v>
      </c>
      <c r="I16" s="93">
        <f t="shared" si="8"/>
        <v>52303.225806451606</v>
      </c>
      <c r="J16" s="88"/>
      <c r="K16" s="98"/>
      <c r="L16" s="93">
        <f t="shared" si="7"/>
        <v>0</v>
      </c>
      <c r="M16" s="89" t="e">
        <f t="shared" si="4"/>
        <v>#DIV/0!</v>
      </c>
      <c r="N16" s="90" t="e">
        <f t="shared" si="4"/>
        <v>#DIV/0!</v>
      </c>
      <c r="O16" s="91" t="e">
        <f t="shared" si="0"/>
        <v>#DIV/0!</v>
      </c>
    </row>
    <row r="17" spans="1:18" ht="24" x14ac:dyDescent="0.55000000000000004">
      <c r="A17" s="92">
        <f t="shared" si="5"/>
        <v>45881</v>
      </c>
      <c r="B17" s="83">
        <f t="shared" si="6"/>
        <v>45881</v>
      </c>
      <c r="C17" s="84">
        <f>'Fix Cost'!$H$36</f>
        <v>4754.8387096774195</v>
      </c>
      <c r="D17" s="102"/>
      <c r="E17" s="85">
        <f t="shared" si="1"/>
        <v>0</v>
      </c>
      <c r="F17" s="104"/>
      <c r="G17" s="86">
        <f t="shared" si="2"/>
        <v>0</v>
      </c>
      <c r="H17" s="87">
        <f t="shared" si="3"/>
        <v>4754.8387096774195</v>
      </c>
      <c r="I17" s="93">
        <f t="shared" si="8"/>
        <v>57058.064516129023</v>
      </c>
      <c r="J17" s="88"/>
      <c r="K17" s="98"/>
      <c r="L17" s="93">
        <f t="shared" si="7"/>
        <v>0</v>
      </c>
      <c r="M17" s="89" t="e">
        <f t="shared" si="4"/>
        <v>#DIV/0!</v>
      </c>
      <c r="N17" s="90" t="e">
        <f t="shared" si="4"/>
        <v>#DIV/0!</v>
      </c>
      <c r="O17" s="91" t="e">
        <f t="shared" si="0"/>
        <v>#DIV/0!</v>
      </c>
    </row>
    <row r="18" spans="1:18" ht="24" x14ac:dyDescent="0.55000000000000004">
      <c r="A18" s="92">
        <f t="shared" si="5"/>
        <v>45882</v>
      </c>
      <c r="B18" s="83">
        <f t="shared" si="6"/>
        <v>45882</v>
      </c>
      <c r="C18" s="84">
        <f>'Fix Cost'!$H$36</f>
        <v>4754.8387096774195</v>
      </c>
      <c r="D18" s="102"/>
      <c r="E18" s="85">
        <f>D18*$E$4</f>
        <v>0</v>
      </c>
      <c r="F18" s="104"/>
      <c r="G18" s="86">
        <f t="shared" si="2"/>
        <v>0</v>
      </c>
      <c r="H18" s="87">
        <f t="shared" si="3"/>
        <v>4754.8387096774195</v>
      </c>
      <c r="I18" s="93">
        <f t="shared" si="8"/>
        <v>61812.90322580644</v>
      </c>
      <c r="J18" s="88"/>
      <c r="K18" s="98"/>
      <c r="L18" s="93">
        <f t="shared" si="7"/>
        <v>0</v>
      </c>
      <c r="M18" s="89" t="e">
        <f t="shared" si="4"/>
        <v>#DIV/0!</v>
      </c>
      <c r="N18" s="90" t="e">
        <f t="shared" si="4"/>
        <v>#DIV/0!</v>
      </c>
      <c r="O18" s="91" t="e">
        <f t="shared" si="0"/>
        <v>#DIV/0!</v>
      </c>
    </row>
    <row r="19" spans="1:18" ht="24" x14ac:dyDescent="0.55000000000000004">
      <c r="A19" s="92">
        <f t="shared" si="5"/>
        <v>45883</v>
      </c>
      <c r="B19" s="83">
        <f t="shared" si="6"/>
        <v>45883</v>
      </c>
      <c r="C19" s="84">
        <f>'Fix Cost'!$H$36</f>
        <v>4754.8387096774195</v>
      </c>
      <c r="D19" s="102"/>
      <c r="E19" s="85">
        <f t="shared" si="1"/>
        <v>0</v>
      </c>
      <c r="F19" s="104"/>
      <c r="G19" s="86">
        <f t="shared" si="2"/>
        <v>0</v>
      </c>
      <c r="H19" s="87">
        <f t="shared" si="3"/>
        <v>4754.8387096774195</v>
      </c>
      <c r="I19" s="93">
        <f t="shared" si="8"/>
        <v>66567.741935483864</v>
      </c>
      <c r="J19" s="88"/>
      <c r="K19" s="98"/>
      <c r="L19" s="93">
        <f t="shared" si="7"/>
        <v>0</v>
      </c>
      <c r="M19" s="89" t="e">
        <f t="shared" si="4"/>
        <v>#DIV/0!</v>
      </c>
      <c r="N19" s="90" t="e">
        <f t="shared" si="4"/>
        <v>#DIV/0!</v>
      </c>
      <c r="O19" s="91" t="e">
        <f t="shared" si="0"/>
        <v>#DIV/0!</v>
      </c>
    </row>
    <row r="20" spans="1:18" ht="24" x14ac:dyDescent="0.55000000000000004">
      <c r="A20" s="92">
        <f t="shared" si="5"/>
        <v>45884</v>
      </c>
      <c r="B20" s="83">
        <f t="shared" si="6"/>
        <v>45884</v>
      </c>
      <c r="C20" s="84">
        <f>'Fix Cost'!$H$36</f>
        <v>4754.8387096774195</v>
      </c>
      <c r="D20" s="102"/>
      <c r="E20" s="85">
        <f t="shared" si="1"/>
        <v>0</v>
      </c>
      <c r="F20" s="104"/>
      <c r="G20" s="86">
        <f t="shared" si="2"/>
        <v>0</v>
      </c>
      <c r="H20" s="87">
        <f t="shared" si="3"/>
        <v>4754.8387096774195</v>
      </c>
      <c r="I20" s="93">
        <f t="shared" si="8"/>
        <v>71322.580645161288</v>
      </c>
      <c r="J20" s="88" t="s">
        <v>6</v>
      </c>
      <c r="K20" s="98"/>
      <c r="L20" s="93">
        <f t="shared" si="7"/>
        <v>0</v>
      </c>
      <c r="M20" s="89" t="e">
        <f t="shared" si="4"/>
        <v>#DIV/0!</v>
      </c>
      <c r="N20" s="90" t="e">
        <f t="shared" si="4"/>
        <v>#DIV/0!</v>
      </c>
      <c r="O20" s="91" t="e">
        <f t="shared" si="0"/>
        <v>#DIV/0!</v>
      </c>
    </row>
    <row r="21" spans="1:18" ht="24" x14ac:dyDescent="0.55000000000000004">
      <c r="A21" s="92">
        <f t="shared" si="5"/>
        <v>45885</v>
      </c>
      <c r="B21" s="83">
        <f t="shared" si="6"/>
        <v>45885</v>
      </c>
      <c r="C21" s="84">
        <f>'Fix Cost'!$H$36</f>
        <v>4754.8387096774195</v>
      </c>
      <c r="D21" s="102"/>
      <c r="E21" s="85">
        <f>D21*$E$4</f>
        <v>0</v>
      </c>
      <c r="F21" s="104"/>
      <c r="G21" s="86">
        <f t="shared" si="2"/>
        <v>0</v>
      </c>
      <c r="H21" s="87">
        <f t="shared" si="3"/>
        <v>4754.8387096774195</v>
      </c>
      <c r="I21" s="93">
        <f t="shared" si="8"/>
        <v>76077.419354838712</v>
      </c>
      <c r="J21" s="88"/>
      <c r="K21" s="98"/>
      <c r="L21" s="93">
        <f t="shared" si="7"/>
        <v>0</v>
      </c>
      <c r="M21" s="89" t="e">
        <f t="shared" si="4"/>
        <v>#DIV/0!</v>
      </c>
      <c r="N21" s="90" t="e">
        <f t="shared" si="4"/>
        <v>#DIV/0!</v>
      </c>
      <c r="O21" s="91" t="e">
        <f t="shared" si="0"/>
        <v>#DIV/0!</v>
      </c>
    </row>
    <row r="22" spans="1:18" ht="24" x14ac:dyDescent="0.55000000000000004">
      <c r="A22" s="92">
        <f t="shared" si="5"/>
        <v>45886</v>
      </c>
      <c r="B22" s="83">
        <f t="shared" si="6"/>
        <v>45886</v>
      </c>
      <c r="C22" s="84">
        <f>'Fix Cost'!$H$36</f>
        <v>4754.8387096774195</v>
      </c>
      <c r="D22" s="102"/>
      <c r="E22" s="85">
        <f t="shared" si="1"/>
        <v>0</v>
      </c>
      <c r="F22" s="104"/>
      <c r="G22" s="86">
        <f t="shared" si="2"/>
        <v>0</v>
      </c>
      <c r="H22" s="87">
        <f t="shared" si="3"/>
        <v>4754.8387096774195</v>
      </c>
      <c r="I22" s="93">
        <f t="shared" si="8"/>
        <v>80832.258064516136</v>
      </c>
      <c r="J22" s="88"/>
      <c r="K22" s="98"/>
      <c r="L22" s="93">
        <f t="shared" si="7"/>
        <v>0</v>
      </c>
      <c r="M22" s="89" t="e">
        <f t="shared" si="4"/>
        <v>#DIV/0!</v>
      </c>
      <c r="N22" s="90" t="e">
        <f t="shared" si="4"/>
        <v>#DIV/0!</v>
      </c>
      <c r="O22" s="91" t="e">
        <f t="shared" si="0"/>
        <v>#DIV/0!</v>
      </c>
    </row>
    <row r="23" spans="1:18" ht="24" x14ac:dyDescent="0.55000000000000004">
      <c r="A23" s="92">
        <f t="shared" si="5"/>
        <v>45887</v>
      </c>
      <c r="B23" s="83">
        <f t="shared" si="6"/>
        <v>45887</v>
      </c>
      <c r="C23" s="84">
        <f>'Fix Cost'!$H$36</f>
        <v>4754.8387096774195</v>
      </c>
      <c r="D23" s="102"/>
      <c r="E23" s="85">
        <f t="shared" si="1"/>
        <v>0</v>
      </c>
      <c r="F23" s="104"/>
      <c r="G23" s="86">
        <f t="shared" si="2"/>
        <v>0</v>
      </c>
      <c r="H23" s="87">
        <f t="shared" si="3"/>
        <v>4754.8387096774195</v>
      </c>
      <c r="I23" s="93">
        <f t="shared" si="8"/>
        <v>85587.09677419356</v>
      </c>
      <c r="J23" s="88"/>
      <c r="K23" s="98"/>
      <c r="L23" s="93">
        <f t="shared" si="7"/>
        <v>0</v>
      </c>
      <c r="M23" s="89" t="e">
        <f t="shared" si="4"/>
        <v>#DIV/0!</v>
      </c>
      <c r="N23" s="90" t="e">
        <f t="shared" si="4"/>
        <v>#DIV/0!</v>
      </c>
      <c r="O23" s="91" t="e">
        <f t="shared" si="0"/>
        <v>#DIV/0!</v>
      </c>
    </row>
    <row r="24" spans="1:18" ht="24" x14ac:dyDescent="0.55000000000000004">
      <c r="A24" s="92">
        <f t="shared" si="5"/>
        <v>45888</v>
      </c>
      <c r="B24" s="83">
        <f t="shared" si="6"/>
        <v>45888</v>
      </c>
      <c r="C24" s="84">
        <f>'Fix Cost'!$H$36</f>
        <v>4754.8387096774195</v>
      </c>
      <c r="D24" s="102"/>
      <c r="E24" s="85">
        <f t="shared" si="1"/>
        <v>0</v>
      </c>
      <c r="F24" s="104"/>
      <c r="G24" s="86">
        <f t="shared" si="2"/>
        <v>0</v>
      </c>
      <c r="H24" s="87">
        <f t="shared" si="3"/>
        <v>4754.8387096774195</v>
      </c>
      <c r="I24" s="93">
        <f t="shared" si="8"/>
        <v>90341.935483870984</v>
      </c>
      <c r="J24" s="88"/>
      <c r="K24" s="98"/>
      <c r="L24" s="93">
        <f t="shared" si="7"/>
        <v>0</v>
      </c>
      <c r="M24" s="89" t="e">
        <f t="shared" si="4"/>
        <v>#DIV/0!</v>
      </c>
      <c r="N24" s="90" t="e">
        <f t="shared" si="4"/>
        <v>#DIV/0!</v>
      </c>
      <c r="O24" s="91" t="e">
        <f t="shared" si="0"/>
        <v>#DIV/0!</v>
      </c>
    </row>
    <row r="25" spans="1:18" ht="24" x14ac:dyDescent="0.55000000000000004">
      <c r="A25" s="92">
        <f t="shared" si="5"/>
        <v>45889</v>
      </c>
      <c r="B25" s="83">
        <f t="shared" si="6"/>
        <v>45889</v>
      </c>
      <c r="C25" s="84">
        <f>'Fix Cost'!$H$36</f>
        <v>4754.8387096774195</v>
      </c>
      <c r="D25" s="102"/>
      <c r="E25" s="85">
        <f t="shared" si="1"/>
        <v>0</v>
      </c>
      <c r="F25" s="104"/>
      <c r="G25" s="86">
        <f t="shared" si="2"/>
        <v>0</v>
      </c>
      <c r="H25" s="87">
        <f t="shared" si="3"/>
        <v>4754.8387096774195</v>
      </c>
      <c r="I25" s="93">
        <f t="shared" si="8"/>
        <v>95096.774193548408</v>
      </c>
      <c r="J25" s="88"/>
      <c r="K25" s="98"/>
      <c r="L25" s="93">
        <f t="shared" si="7"/>
        <v>0</v>
      </c>
      <c r="M25" s="89" t="e">
        <f t="shared" si="4"/>
        <v>#DIV/0!</v>
      </c>
      <c r="N25" s="90" t="e">
        <f t="shared" si="4"/>
        <v>#DIV/0!</v>
      </c>
      <c r="O25" s="91" t="e">
        <f t="shared" si="0"/>
        <v>#DIV/0!</v>
      </c>
    </row>
    <row r="26" spans="1:18" ht="24" x14ac:dyDescent="0.55000000000000004">
      <c r="A26" s="92">
        <f t="shared" si="5"/>
        <v>45890</v>
      </c>
      <c r="B26" s="83">
        <f t="shared" si="6"/>
        <v>45890</v>
      </c>
      <c r="C26" s="84">
        <f>'Fix Cost'!$H$36</f>
        <v>4754.8387096774195</v>
      </c>
      <c r="D26" s="102"/>
      <c r="E26" s="85">
        <f t="shared" si="1"/>
        <v>0</v>
      </c>
      <c r="F26" s="104"/>
      <c r="G26" s="86">
        <f t="shared" si="2"/>
        <v>0</v>
      </c>
      <c r="H26" s="87">
        <f t="shared" si="3"/>
        <v>4754.8387096774195</v>
      </c>
      <c r="I26" s="93">
        <f t="shared" si="8"/>
        <v>99851.612903225832</v>
      </c>
      <c r="J26" s="88"/>
      <c r="K26" s="98"/>
      <c r="L26" s="93">
        <f t="shared" si="7"/>
        <v>0</v>
      </c>
      <c r="M26" s="89" t="e">
        <f t="shared" si="4"/>
        <v>#DIV/0!</v>
      </c>
      <c r="N26" s="90" t="e">
        <f t="shared" si="4"/>
        <v>#DIV/0!</v>
      </c>
      <c r="O26" s="91" t="e">
        <f t="shared" si="0"/>
        <v>#DIV/0!</v>
      </c>
    </row>
    <row r="27" spans="1:18" ht="24" x14ac:dyDescent="0.55000000000000004">
      <c r="A27" s="92">
        <f t="shared" si="5"/>
        <v>45891</v>
      </c>
      <c r="B27" s="83">
        <f t="shared" si="6"/>
        <v>45891</v>
      </c>
      <c r="C27" s="84">
        <f>'Fix Cost'!$H$36</f>
        <v>4754.8387096774195</v>
      </c>
      <c r="D27" s="102"/>
      <c r="E27" s="85">
        <f>D27*$E$4</f>
        <v>0</v>
      </c>
      <c r="F27" s="104"/>
      <c r="G27" s="86">
        <f t="shared" si="2"/>
        <v>0</v>
      </c>
      <c r="H27" s="87">
        <f t="shared" si="3"/>
        <v>4754.8387096774195</v>
      </c>
      <c r="I27" s="93">
        <f t="shared" si="8"/>
        <v>104606.45161290326</v>
      </c>
      <c r="J27" s="88"/>
      <c r="K27" s="98"/>
      <c r="L27" s="93">
        <f t="shared" si="7"/>
        <v>0</v>
      </c>
      <c r="M27" s="89" t="e">
        <f t="shared" si="4"/>
        <v>#DIV/0!</v>
      </c>
      <c r="N27" s="90" t="e">
        <f t="shared" si="4"/>
        <v>#DIV/0!</v>
      </c>
      <c r="O27" s="91" t="e">
        <f t="shared" si="0"/>
        <v>#DIV/0!</v>
      </c>
    </row>
    <row r="28" spans="1:18" ht="24" x14ac:dyDescent="0.55000000000000004">
      <c r="A28" s="92">
        <f t="shared" si="5"/>
        <v>45892</v>
      </c>
      <c r="B28" s="83">
        <f t="shared" si="6"/>
        <v>45892</v>
      </c>
      <c r="C28" s="84">
        <f>'Fix Cost'!$H$36</f>
        <v>4754.8387096774195</v>
      </c>
      <c r="D28" s="102"/>
      <c r="E28" s="85">
        <f t="shared" si="1"/>
        <v>0</v>
      </c>
      <c r="F28" s="104"/>
      <c r="G28" s="86">
        <f t="shared" si="2"/>
        <v>0</v>
      </c>
      <c r="H28" s="87">
        <f t="shared" si="3"/>
        <v>4754.8387096774195</v>
      </c>
      <c r="I28" s="93">
        <f t="shared" si="8"/>
        <v>109361.29032258068</v>
      </c>
      <c r="J28" s="88"/>
      <c r="K28" s="98"/>
      <c r="L28" s="93">
        <f t="shared" si="7"/>
        <v>0</v>
      </c>
      <c r="M28" s="89" t="e">
        <f t="shared" si="4"/>
        <v>#DIV/0!</v>
      </c>
      <c r="N28" s="90" t="e">
        <f t="shared" si="4"/>
        <v>#DIV/0!</v>
      </c>
      <c r="O28" s="91" t="e">
        <f t="shared" si="0"/>
        <v>#DIV/0!</v>
      </c>
    </row>
    <row r="29" spans="1:18" ht="24" x14ac:dyDescent="0.55000000000000004">
      <c r="A29" s="92">
        <f t="shared" si="5"/>
        <v>45893</v>
      </c>
      <c r="B29" s="83">
        <f t="shared" si="6"/>
        <v>45893</v>
      </c>
      <c r="C29" s="84">
        <f>'Fix Cost'!$H$36</f>
        <v>4754.8387096774195</v>
      </c>
      <c r="D29" s="102"/>
      <c r="E29" s="85">
        <f t="shared" si="1"/>
        <v>0</v>
      </c>
      <c r="F29" s="104"/>
      <c r="G29" s="86">
        <f t="shared" si="2"/>
        <v>0</v>
      </c>
      <c r="H29" s="87">
        <f t="shared" si="3"/>
        <v>4754.8387096774195</v>
      </c>
      <c r="I29" s="93">
        <f t="shared" si="8"/>
        <v>114116.1290322581</v>
      </c>
      <c r="J29" s="88"/>
      <c r="K29" s="98"/>
      <c r="L29" s="93">
        <f t="shared" si="7"/>
        <v>0</v>
      </c>
      <c r="M29" s="89" t="e">
        <f t="shared" si="4"/>
        <v>#DIV/0!</v>
      </c>
      <c r="N29" s="90" t="e">
        <f t="shared" si="4"/>
        <v>#DIV/0!</v>
      </c>
      <c r="O29" s="91" t="e">
        <f t="shared" si="0"/>
        <v>#DIV/0!</v>
      </c>
      <c r="R29" t="s">
        <v>6</v>
      </c>
    </row>
    <row r="30" spans="1:18" ht="24" x14ac:dyDescent="0.55000000000000004">
      <c r="A30" s="92">
        <f t="shared" si="5"/>
        <v>45894</v>
      </c>
      <c r="B30" s="83">
        <f t="shared" si="6"/>
        <v>45894</v>
      </c>
      <c r="C30" s="84">
        <f>'Fix Cost'!$H$36</f>
        <v>4754.8387096774195</v>
      </c>
      <c r="D30" s="102"/>
      <c r="E30" s="85">
        <f t="shared" si="1"/>
        <v>0</v>
      </c>
      <c r="F30" s="104"/>
      <c r="G30" s="86">
        <f t="shared" si="2"/>
        <v>0</v>
      </c>
      <c r="H30" s="87">
        <f t="shared" si="3"/>
        <v>4754.8387096774195</v>
      </c>
      <c r="I30" s="93">
        <f t="shared" si="8"/>
        <v>118870.96774193553</v>
      </c>
      <c r="J30" s="88"/>
      <c r="K30" s="99"/>
      <c r="L30" s="93">
        <f t="shared" si="7"/>
        <v>0</v>
      </c>
      <c r="M30" s="89" t="e">
        <f t="shared" si="4"/>
        <v>#DIV/0!</v>
      </c>
      <c r="N30" s="90" t="e">
        <f t="shared" si="4"/>
        <v>#DIV/0!</v>
      </c>
      <c r="O30" s="91" t="e">
        <f t="shared" si="0"/>
        <v>#DIV/0!</v>
      </c>
    </row>
    <row r="31" spans="1:18" ht="24" x14ac:dyDescent="0.55000000000000004">
      <c r="A31" s="92">
        <f t="shared" si="5"/>
        <v>45895</v>
      </c>
      <c r="B31" s="83">
        <f t="shared" si="6"/>
        <v>45895</v>
      </c>
      <c r="C31" s="84">
        <f>'Fix Cost'!$H$36</f>
        <v>4754.8387096774195</v>
      </c>
      <c r="D31" s="102"/>
      <c r="E31" s="85">
        <f t="shared" si="1"/>
        <v>0</v>
      </c>
      <c r="F31" s="104"/>
      <c r="G31" s="86">
        <f t="shared" si="2"/>
        <v>0</v>
      </c>
      <c r="H31" s="87">
        <f t="shared" si="3"/>
        <v>4754.8387096774195</v>
      </c>
      <c r="I31" s="93">
        <f t="shared" si="8"/>
        <v>123625.80645161295</v>
      </c>
      <c r="J31" s="88"/>
      <c r="K31" s="99"/>
      <c r="L31" s="93">
        <f t="shared" si="7"/>
        <v>0</v>
      </c>
      <c r="M31" s="89" t="e">
        <f t="shared" si="4"/>
        <v>#DIV/0!</v>
      </c>
      <c r="N31" s="90" t="e">
        <f t="shared" si="4"/>
        <v>#DIV/0!</v>
      </c>
      <c r="O31" s="91" t="e">
        <f t="shared" si="0"/>
        <v>#DIV/0!</v>
      </c>
    </row>
    <row r="32" spans="1:18" ht="24" x14ac:dyDescent="0.55000000000000004">
      <c r="A32" s="92">
        <f t="shared" si="5"/>
        <v>45896</v>
      </c>
      <c r="B32" s="83">
        <f t="shared" si="6"/>
        <v>45896</v>
      </c>
      <c r="C32" s="84">
        <f>'Fix Cost'!$H$36</f>
        <v>4754.8387096774195</v>
      </c>
      <c r="D32" s="103"/>
      <c r="E32" s="85">
        <f>D32*$E$4</f>
        <v>0</v>
      </c>
      <c r="F32" s="104"/>
      <c r="G32" s="86">
        <f t="shared" si="2"/>
        <v>0</v>
      </c>
      <c r="H32" s="87">
        <f t="shared" si="3"/>
        <v>4754.8387096774195</v>
      </c>
      <c r="I32" s="93">
        <f t="shared" si="8"/>
        <v>128380.64516129038</v>
      </c>
      <c r="J32" s="88"/>
      <c r="K32" s="99"/>
      <c r="L32" s="93">
        <f t="shared" si="7"/>
        <v>0</v>
      </c>
      <c r="M32" s="89" t="e">
        <f t="shared" si="4"/>
        <v>#DIV/0!</v>
      </c>
      <c r="N32" s="90" t="e">
        <f t="shared" si="4"/>
        <v>#DIV/0!</v>
      </c>
      <c r="O32" s="91" t="e">
        <f t="shared" si="0"/>
        <v>#DIV/0!</v>
      </c>
    </row>
    <row r="33" spans="1:15" ht="24" x14ac:dyDescent="0.55000000000000004">
      <c r="A33" s="92">
        <f t="shared" si="5"/>
        <v>45897</v>
      </c>
      <c r="B33" s="83">
        <f t="shared" si="6"/>
        <v>45897</v>
      </c>
      <c r="C33" s="84">
        <f>'Fix Cost'!$H$36</f>
        <v>4754.8387096774195</v>
      </c>
      <c r="D33" s="103"/>
      <c r="E33" s="85">
        <f t="shared" si="1"/>
        <v>0</v>
      </c>
      <c r="F33" s="104"/>
      <c r="G33" s="86">
        <f t="shared" si="2"/>
        <v>0</v>
      </c>
      <c r="H33" s="87">
        <f t="shared" si="3"/>
        <v>4754.8387096774195</v>
      </c>
      <c r="I33" s="93">
        <f t="shared" si="8"/>
        <v>133135.48387096779</v>
      </c>
      <c r="J33" s="88"/>
      <c r="K33" s="99"/>
      <c r="L33" s="93">
        <f t="shared" si="7"/>
        <v>0</v>
      </c>
      <c r="M33" s="89" t="e">
        <f t="shared" si="4"/>
        <v>#DIV/0!</v>
      </c>
      <c r="N33" s="90" t="e">
        <f t="shared" si="4"/>
        <v>#DIV/0!</v>
      </c>
      <c r="O33" s="91" t="e">
        <f t="shared" si="0"/>
        <v>#DIV/0!</v>
      </c>
    </row>
    <row r="34" spans="1:15" ht="24" x14ac:dyDescent="0.55000000000000004">
      <c r="A34" s="92">
        <f t="shared" si="5"/>
        <v>45898</v>
      </c>
      <c r="B34" s="83">
        <f t="shared" si="6"/>
        <v>45898</v>
      </c>
      <c r="C34" s="84">
        <f>'Fix Cost'!$H$36</f>
        <v>4754.8387096774195</v>
      </c>
      <c r="D34" s="103"/>
      <c r="E34" s="85">
        <f t="shared" si="1"/>
        <v>0</v>
      </c>
      <c r="F34" s="104"/>
      <c r="G34" s="86">
        <f t="shared" si="2"/>
        <v>0</v>
      </c>
      <c r="H34" s="87">
        <f t="shared" si="3"/>
        <v>4754.8387096774195</v>
      </c>
      <c r="I34" s="93">
        <f t="shared" si="8"/>
        <v>137890.32258064521</v>
      </c>
      <c r="J34" s="88"/>
      <c r="K34" s="99"/>
      <c r="L34" s="93">
        <f t="shared" si="7"/>
        <v>0</v>
      </c>
      <c r="M34" s="89" t="e">
        <f t="shared" si="4"/>
        <v>#DIV/0!</v>
      </c>
      <c r="N34" s="90" t="e">
        <f t="shared" si="4"/>
        <v>#DIV/0!</v>
      </c>
      <c r="O34" s="91" t="e">
        <f t="shared" si="0"/>
        <v>#DIV/0!</v>
      </c>
    </row>
    <row r="35" spans="1:15" ht="24" x14ac:dyDescent="0.55000000000000004">
      <c r="A35" s="92">
        <f t="shared" si="5"/>
        <v>45899</v>
      </c>
      <c r="B35" s="83">
        <f t="shared" si="6"/>
        <v>45899</v>
      </c>
      <c r="C35" s="84">
        <f>'Fix Cost'!$H$36</f>
        <v>4754.8387096774195</v>
      </c>
      <c r="D35" s="103"/>
      <c r="E35" s="85">
        <f t="shared" si="1"/>
        <v>0</v>
      </c>
      <c r="F35" s="104"/>
      <c r="G35" s="86">
        <f t="shared" si="2"/>
        <v>0</v>
      </c>
      <c r="H35" s="87">
        <f t="shared" si="3"/>
        <v>4754.8387096774195</v>
      </c>
      <c r="I35" s="93">
        <f t="shared" si="8"/>
        <v>142645.16129032263</v>
      </c>
      <c r="J35" s="88"/>
      <c r="K35" s="99"/>
      <c r="L35" s="93">
        <f t="shared" si="7"/>
        <v>0</v>
      </c>
      <c r="M35" s="89" t="e">
        <f t="shared" si="4"/>
        <v>#DIV/0!</v>
      </c>
      <c r="N35" s="90" t="e">
        <f t="shared" si="4"/>
        <v>#DIV/0!</v>
      </c>
      <c r="O35" s="91" t="e">
        <f t="shared" si="0"/>
        <v>#DIV/0!</v>
      </c>
    </row>
    <row r="36" spans="1:15" ht="24.75" thickBot="1" x14ac:dyDescent="0.6">
      <c r="A36" s="92">
        <f t="shared" si="5"/>
        <v>45900</v>
      </c>
      <c r="B36" s="83">
        <f t="shared" si="6"/>
        <v>45900</v>
      </c>
      <c r="C36" s="84">
        <f>'Fix Cost'!$H$36</f>
        <v>4754.8387096774195</v>
      </c>
      <c r="D36" s="103"/>
      <c r="E36" s="85">
        <f t="shared" si="1"/>
        <v>0</v>
      </c>
      <c r="F36" s="104"/>
      <c r="G36" s="86">
        <f t="shared" si="2"/>
        <v>0</v>
      </c>
      <c r="H36" s="87">
        <f t="shared" si="3"/>
        <v>4754.8387096774195</v>
      </c>
      <c r="I36" s="93">
        <f t="shared" si="8"/>
        <v>147400.00000000006</v>
      </c>
      <c r="J36" s="88"/>
      <c r="K36" s="100"/>
      <c r="L36" s="93">
        <f t="shared" si="7"/>
        <v>0</v>
      </c>
      <c r="M36" s="89" t="e">
        <f t="shared" si="4"/>
        <v>#DIV/0!</v>
      </c>
      <c r="N36" s="90" t="e">
        <f t="shared" si="4"/>
        <v>#DIV/0!</v>
      </c>
      <c r="O36" s="91" t="e">
        <f t="shared" si="0"/>
        <v>#DIV/0!</v>
      </c>
    </row>
    <row r="37" spans="1:15" s="69" customFormat="1" ht="24" thickBot="1" x14ac:dyDescent="0.55000000000000004">
      <c r="A37" s="111" t="s">
        <v>65</v>
      </c>
      <c r="B37" s="112"/>
      <c r="C37" s="94">
        <f>SUM(C6:C36)</f>
        <v>147400.00000000006</v>
      </c>
      <c r="D37" s="94">
        <f t="shared" ref="D37:K37" si="9">SUM(D6:D36)</f>
        <v>0</v>
      </c>
      <c r="E37" s="94">
        <f t="shared" si="9"/>
        <v>0</v>
      </c>
      <c r="F37" s="94">
        <f t="shared" si="9"/>
        <v>0</v>
      </c>
      <c r="G37" s="94">
        <f t="shared" si="9"/>
        <v>0</v>
      </c>
      <c r="H37" s="94">
        <f t="shared" si="9"/>
        <v>147400.00000000006</v>
      </c>
      <c r="I37" s="94">
        <f>I36</f>
        <v>147400.00000000006</v>
      </c>
      <c r="J37" s="88"/>
      <c r="K37" s="94">
        <f t="shared" si="9"/>
        <v>0</v>
      </c>
      <c r="L37" s="95">
        <f>L36</f>
        <v>0</v>
      </c>
      <c r="M37" s="96" t="e">
        <f t="shared" si="4"/>
        <v>#DIV/0!</v>
      </c>
      <c r="N37" s="97" t="e">
        <f t="shared" si="4"/>
        <v>#DIV/0!</v>
      </c>
      <c r="O37" s="69" t="e">
        <f t="shared" si="0"/>
        <v>#DIV/0!</v>
      </c>
    </row>
    <row r="112" spans="13:13" x14ac:dyDescent="0.2">
      <c r="M112" t="s">
        <v>66</v>
      </c>
    </row>
  </sheetData>
  <mergeCells count="4">
    <mergeCell ref="A1:E1"/>
    <mergeCell ref="I1:J1"/>
    <mergeCell ref="A4:D4"/>
    <mergeCell ref="A37:B37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Fix Cost</vt:lpstr>
      <vt:lpstr>COL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Chanwit Tangkhaothong</dc:creator>
  <cp:lastModifiedBy>Mai Ake</cp:lastModifiedBy>
  <dcterms:created xsi:type="dcterms:W3CDTF">2023-11-16T07:09:35Z</dcterms:created>
  <dcterms:modified xsi:type="dcterms:W3CDTF">2026-03-04T21:44:11Z</dcterms:modified>
</cp:coreProperties>
</file>