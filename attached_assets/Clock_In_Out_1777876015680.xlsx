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89184c13b38d493/Desktop/ส่งพี่แชมป์/Daily/2026/5.May/"/>
    </mc:Choice>
  </mc:AlternateContent>
  <xr:revisionPtr revIDLastSave="2146" documentId="11_34C33A8A9A09484717168BC53EDC53AD0F9432CD" xr6:coauthVersionLast="47" xr6:coauthVersionMax="47" xr10:uidLastSave="{6D3DCFF7-E139-49F8-8AE8-1850675890E3}"/>
  <bookViews>
    <workbookView xWindow="-120" yWindow="-120" windowWidth="24240" windowHeight="13020" xr2:uid="{00000000-000D-0000-FFFF-FFFF00000000}"/>
  </bookViews>
  <sheets>
    <sheet name="May" sheetId="3" r:id="rId1"/>
  </sheets>
  <definedNames>
    <definedName name="FromArray_1">_xlfn.ANCHORARRAY(#REF!)</definedName>
  </definedNames>
  <calcPr calcId="181029"/>
</workbook>
</file>

<file path=xl/calcChain.xml><?xml version="1.0" encoding="utf-8"?>
<calcChain xmlns="http://schemas.openxmlformats.org/spreadsheetml/2006/main">
  <c r="AE51" i="3" l="1" a="1"/>
  <c r="AE51" i="3" s="1"/>
  <c r="X51" i="3" a="1"/>
  <c r="X51" i="3" s="1"/>
  <c r="Q51" i="3" a="1"/>
  <c r="Q51" i="3" s="1"/>
  <c r="J51" i="3" a="1"/>
  <c r="J51" i="3" s="1"/>
  <c r="C51" i="3" a="1"/>
  <c r="C51" i="3" s="1"/>
  <c r="AE50" i="3" a="1"/>
  <c r="AE50" i="3" s="1"/>
  <c r="X50" i="3" a="1"/>
  <c r="X50" i="3" s="1"/>
  <c r="Q50" i="3" a="1"/>
  <c r="Q50" i="3" s="1"/>
  <c r="J50" i="3" a="1"/>
  <c r="J50" i="3" s="1"/>
  <c r="C50" i="3" a="1"/>
  <c r="C50" i="3" s="1"/>
  <c r="AE49" i="3" a="1"/>
  <c r="AE49" i="3" s="1"/>
  <c r="X49" i="3" a="1"/>
  <c r="X49" i="3" s="1"/>
  <c r="Q49" i="3" a="1"/>
  <c r="Q49" i="3" s="1"/>
  <c r="J49" i="3" a="1"/>
  <c r="J49" i="3" s="1"/>
  <c r="C49" i="3" a="1"/>
  <c r="C49" i="3" s="1"/>
  <c r="AE48" i="3" a="1"/>
  <c r="AE48" i="3" s="1"/>
  <c r="X48" i="3" a="1"/>
  <c r="X48" i="3" s="1"/>
  <c r="Q48" i="3" a="1"/>
  <c r="Q48" i="3" s="1"/>
  <c r="J48" i="3" a="1"/>
  <c r="J48" i="3" s="1"/>
  <c r="C48" i="3" a="1"/>
  <c r="C48" i="3" s="1"/>
  <c r="AE47" i="3" a="1"/>
  <c r="AE47" i="3" s="1"/>
  <c r="X47" i="3" a="1"/>
  <c r="X47" i="3" s="1"/>
  <c r="Q47" i="3" a="1"/>
  <c r="Q47" i="3" s="1"/>
  <c r="J47" i="3" a="1"/>
  <c r="J47" i="3" s="1"/>
  <c r="C47" i="3" a="1"/>
  <c r="C47" i="3" s="1"/>
  <c r="AE46" i="3" a="1"/>
  <c r="AE46" i="3" s="1"/>
  <c r="X46" i="3" a="1"/>
  <c r="X46" i="3" s="1"/>
  <c r="Q46" i="3" a="1"/>
  <c r="Q46" i="3" s="1"/>
  <c r="J46" i="3" a="1"/>
  <c r="J46" i="3" s="1"/>
  <c r="C46" i="3" a="1"/>
  <c r="C46" i="3" s="1"/>
  <c r="AE45" i="3" a="1"/>
  <c r="AE45" i="3" s="1"/>
  <c r="X45" i="3" a="1"/>
  <c r="X45" i="3" s="1"/>
  <c r="Q45" i="3" a="1"/>
  <c r="Q45" i="3" s="1"/>
  <c r="J45" i="3" a="1"/>
  <c r="J45" i="3" s="1"/>
  <c r="C45" i="3" a="1"/>
  <c r="C45" i="3" s="1"/>
  <c r="AE44" i="3" a="1"/>
  <c r="AE44" i="3" s="1"/>
  <c r="X44" i="3" a="1"/>
  <c r="X44" i="3" s="1"/>
  <c r="Q44" i="3" a="1"/>
  <c r="Q44" i="3" s="1"/>
  <c r="J44" i="3" a="1"/>
  <c r="J44" i="3" s="1"/>
  <c r="C44" i="3" a="1"/>
  <c r="C44" i="3" s="1"/>
  <c r="AE43" i="3" a="1"/>
  <c r="AE43" i="3" s="1"/>
  <c r="X43" i="3" a="1"/>
  <c r="X43" i="3" s="1"/>
  <c r="Q43" i="3" a="1"/>
  <c r="Q43" i="3" s="1"/>
  <c r="J43" i="3" a="1"/>
  <c r="J43" i="3" s="1"/>
  <c r="C43" i="3" a="1"/>
  <c r="C43" i="3" s="1"/>
  <c r="AE42" i="3" a="1"/>
  <c r="AE42" i="3" s="1"/>
  <c r="X42" i="3" a="1"/>
  <c r="X42" i="3" s="1"/>
  <c r="Q42" i="3" a="1"/>
  <c r="Q42" i="3" s="1"/>
  <c r="J42" i="3" a="1"/>
  <c r="J42" i="3" s="1"/>
  <c r="C42" i="3" a="1"/>
  <c r="C42" i="3" s="1"/>
  <c r="AE41" i="3" a="1"/>
  <c r="AE41" i="3" s="1"/>
  <c r="X41" i="3" a="1"/>
  <c r="X41" i="3" s="1"/>
  <c r="Q41" i="3" a="1"/>
  <c r="Q41" i="3" s="1"/>
  <c r="J41" i="3" a="1"/>
  <c r="J41" i="3" s="1"/>
  <c r="C41" i="3" a="1"/>
  <c r="C41" i="3" s="1"/>
  <c r="AE40" i="3" a="1"/>
  <c r="AE40" i="3" s="1"/>
  <c r="X40" i="3" a="1"/>
  <c r="X40" i="3" s="1"/>
  <c r="Q40" i="3" a="1"/>
  <c r="Q40" i="3" s="1"/>
  <c r="J40" i="3" a="1"/>
  <c r="J40" i="3" s="1"/>
  <c r="C40" i="3" a="1"/>
  <c r="C40" i="3" s="1"/>
  <c r="AE39" i="3" a="1"/>
  <c r="AE39" i="3" s="1"/>
  <c r="X39" i="3" a="1"/>
  <c r="X39" i="3" s="1"/>
  <c r="Q39" i="3" a="1"/>
  <c r="Q39" i="3" s="1"/>
  <c r="J39" i="3" a="1"/>
  <c r="J39" i="3" s="1"/>
  <c r="C39" i="3" a="1"/>
  <c r="C39" i="3" s="1"/>
  <c r="AE38" i="3" a="1"/>
  <c r="AE38" i="3" s="1"/>
  <c r="X38" i="3" a="1"/>
  <c r="X38" i="3" s="1"/>
  <c r="Q38" i="3" a="1"/>
  <c r="Q38" i="3" s="1"/>
  <c r="J38" i="3" a="1"/>
  <c r="J38" i="3" s="1"/>
  <c r="C38" i="3" a="1"/>
  <c r="C38" i="3" s="1"/>
  <c r="B19" i="3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13" i="3"/>
  <c r="B14" i="3" s="1"/>
  <c r="B15" i="3" s="1"/>
  <c r="B16" i="3" s="1"/>
  <c r="B17" i="3" s="1"/>
  <c r="B18" i="3" s="1"/>
  <c r="I7" i="3"/>
  <c r="I8" i="3" s="1"/>
  <c r="I9" i="3" s="1"/>
  <c r="I10" i="3" s="1"/>
  <c r="I11" i="3" s="1"/>
  <c r="I12" i="3" s="1"/>
  <c r="I13" i="3" s="1"/>
  <c r="I14" i="3" s="1"/>
  <c r="I15" i="3" s="1"/>
  <c r="I16" i="3" s="1"/>
  <c r="I17" i="3" s="1"/>
  <c r="I18" i="3" s="1"/>
  <c r="I19" i="3" s="1"/>
  <c r="I20" i="3" s="1"/>
  <c r="I21" i="3" s="1"/>
  <c r="I22" i="3" s="1"/>
  <c r="I23" i="3" s="1"/>
  <c r="I24" i="3" s="1"/>
  <c r="I25" i="3" s="1"/>
  <c r="I26" i="3" s="1"/>
  <c r="I27" i="3" s="1"/>
  <c r="I28" i="3" s="1"/>
  <c r="I29" i="3" s="1"/>
  <c r="I30" i="3" s="1"/>
  <c r="I31" i="3" s="1"/>
  <c r="I32" i="3" s="1"/>
  <c r="I33" i="3" s="1"/>
  <c r="I34" i="3" s="1"/>
  <c r="I35" i="3" s="1"/>
  <c r="B7" i="3"/>
  <c r="B8" i="3" s="1"/>
  <c r="B9" i="3" s="1"/>
  <c r="B10" i="3" s="1"/>
  <c r="B11" i="3" s="1"/>
  <c r="B12" i="3" s="1"/>
  <c r="I6" i="3"/>
  <c r="B6" i="3"/>
  <c r="I5" i="3"/>
  <c r="P5" i="3" s="1"/>
  <c r="A5" i="3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L2" i="3"/>
  <c r="S2" i="3" s="1"/>
  <c r="Z2" i="3" s="1"/>
  <c r="AG2" i="3" s="1"/>
  <c r="I2" i="3"/>
  <c r="P2" i="3" s="1"/>
  <c r="W2" i="3" s="1"/>
  <c r="AF45" i="3" l="1"/>
  <c r="R50" i="3"/>
  <c r="D50" i="3"/>
  <c r="Y50" i="3"/>
  <c r="R45" i="3"/>
  <c r="K50" i="3"/>
  <c r="K45" i="3"/>
  <c r="D45" i="3"/>
  <c r="D38" i="3"/>
  <c r="C52" i="3"/>
  <c r="J52" i="3"/>
  <c r="K38" i="3"/>
  <c r="Y45" i="3"/>
  <c r="AF50" i="3"/>
  <c r="Q52" i="3"/>
  <c r="R38" i="3"/>
  <c r="X52" i="3"/>
  <c r="Y38" i="3"/>
  <c r="W5" i="3"/>
  <c r="P6" i="3"/>
  <c r="P7" i="3" s="1"/>
  <c r="P8" i="3" s="1"/>
  <c r="P9" i="3" s="1"/>
  <c r="P10" i="3" s="1"/>
  <c r="P11" i="3" s="1"/>
  <c r="P12" i="3" s="1"/>
  <c r="P13" i="3" s="1"/>
  <c r="P14" i="3" s="1"/>
  <c r="P15" i="3" s="1"/>
  <c r="P16" i="3" s="1"/>
  <c r="P17" i="3" s="1"/>
  <c r="P18" i="3" s="1"/>
  <c r="P19" i="3" s="1"/>
  <c r="P20" i="3" s="1"/>
  <c r="P21" i="3" s="1"/>
  <c r="P22" i="3" s="1"/>
  <c r="P23" i="3" s="1"/>
  <c r="P24" i="3" s="1"/>
  <c r="P25" i="3" s="1"/>
  <c r="P26" i="3" s="1"/>
  <c r="P27" i="3" s="1"/>
  <c r="P28" i="3" s="1"/>
  <c r="P29" i="3" s="1"/>
  <c r="P30" i="3" s="1"/>
  <c r="P31" i="3" s="1"/>
  <c r="P32" i="3" s="1"/>
  <c r="P33" i="3" s="1"/>
  <c r="P34" i="3" s="1"/>
  <c r="P35" i="3" s="1"/>
  <c r="O5" i="3"/>
  <c r="O6" i="3" s="1"/>
  <c r="O7" i="3" s="1"/>
  <c r="O8" i="3" s="1"/>
  <c r="O9" i="3" s="1"/>
  <c r="O10" i="3" s="1"/>
  <c r="O11" i="3" s="1"/>
  <c r="O12" i="3" s="1"/>
  <c r="O13" i="3" s="1"/>
  <c r="O14" i="3" s="1"/>
  <c r="O15" i="3" s="1"/>
  <c r="O16" i="3" s="1"/>
  <c r="O17" i="3" s="1"/>
  <c r="O18" i="3" s="1"/>
  <c r="O19" i="3" s="1"/>
  <c r="O20" i="3" s="1"/>
  <c r="O21" i="3" s="1"/>
  <c r="O22" i="3" s="1"/>
  <c r="O23" i="3" s="1"/>
  <c r="O24" i="3" s="1"/>
  <c r="O25" i="3" s="1"/>
  <c r="O26" i="3" s="1"/>
  <c r="O27" i="3" s="1"/>
  <c r="O28" i="3" s="1"/>
  <c r="O29" i="3" s="1"/>
  <c r="O30" i="3" s="1"/>
  <c r="O31" i="3" s="1"/>
  <c r="O32" i="3" s="1"/>
  <c r="O33" i="3" s="1"/>
  <c r="O34" i="3" s="1"/>
  <c r="O35" i="3" s="1"/>
  <c r="AE52" i="3"/>
  <c r="AF38" i="3"/>
  <c r="H5" i="3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H34" i="3" s="1"/>
  <c r="H35" i="3" s="1"/>
  <c r="V5" i="3" l="1"/>
  <c r="V6" i="3" s="1"/>
  <c r="V7" i="3" s="1"/>
  <c r="V8" i="3" s="1"/>
  <c r="V9" i="3" s="1"/>
  <c r="V10" i="3" s="1"/>
  <c r="V11" i="3" s="1"/>
  <c r="V12" i="3" s="1"/>
  <c r="V13" i="3" s="1"/>
  <c r="V14" i="3" s="1"/>
  <c r="V15" i="3" s="1"/>
  <c r="V16" i="3" s="1"/>
  <c r="V17" i="3" s="1"/>
  <c r="V18" i="3" s="1"/>
  <c r="V19" i="3" s="1"/>
  <c r="V20" i="3" s="1"/>
  <c r="V21" i="3" s="1"/>
  <c r="V22" i="3" s="1"/>
  <c r="V23" i="3" s="1"/>
  <c r="V24" i="3" s="1"/>
  <c r="V25" i="3" s="1"/>
  <c r="V26" i="3" s="1"/>
  <c r="V27" i="3" s="1"/>
  <c r="V28" i="3" s="1"/>
  <c r="V29" i="3" s="1"/>
  <c r="V30" i="3" s="1"/>
  <c r="V31" i="3" s="1"/>
  <c r="V32" i="3" s="1"/>
  <c r="V33" i="3" s="1"/>
  <c r="V34" i="3" s="1"/>
  <c r="V35" i="3" s="1"/>
  <c r="W6" i="3"/>
  <c r="W7" i="3" s="1"/>
  <c r="W8" i="3" s="1"/>
  <c r="W9" i="3" s="1"/>
  <c r="W10" i="3" s="1"/>
  <c r="W11" i="3" s="1"/>
  <c r="W12" i="3" s="1"/>
  <c r="W13" i="3" s="1"/>
  <c r="W14" i="3" s="1"/>
  <c r="W15" i="3" s="1"/>
  <c r="W16" i="3" s="1"/>
  <c r="W17" i="3" s="1"/>
  <c r="W18" i="3" s="1"/>
  <c r="W19" i="3" s="1"/>
  <c r="W20" i="3" s="1"/>
  <c r="W21" i="3" s="1"/>
  <c r="W22" i="3" s="1"/>
  <c r="W23" i="3" s="1"/>
  <c r="W24" i="3" s="1"/>
  <c r="W25" i="3" s="1"/>
  <c r="W26" i="3" s="1"/>
  <c r="W27" i="3" s="1"/>
  <c r="W28" i="3" s="1"/>
  <c r="W29" i="3" s="1"/>
  <c r="W30" i="3" s="1"/>
  <c r="W31" i="3" s="1"/>
  <c r="W32" i="3" s="1"/>
  <c r="W33" i="3" s="1"/>
  <c r="W34" i="3" s="1"/>
  <c r="W35" i="3" s="1"/>
  <c r="AD5" i="3"/>
  <c r="AC5" i="3" l="1"/>
  <c r="AC6" i="3" s="1"/>
  <c r="AC7" i="3" s="1"/>
  <c r="AC8" i="3" s="1"/>
  <c r="AC9" i="3" s="1"/>
  <c r="AC10" i="3" s="1"/>
  <c r="AC11" i="3" s="1"/>
  <c r="AC12" i="3" s="1"/>
  <c r="AC13" i="3" s="1"/>
  <c r="AC14" i="3" s="1"/>
  <c r="AC15" i="3" s="1"/>
  <c r="AC16" i="3" s="1"/>
  <c r="AC17" i="3" s="1"/>
  <c r="AC18" i="3" s="1"/>
  <c r="AC19" i="3" s="1"/>
  <c r="AC20" i="3" s="1"/>
  <c r="AC21" i="3" s="1"/>
  <c r="AC22" i="3" s="1"/>
  <c r="AC23" i="3" s="1"/>
  <c r="AC24" i="3" s="1"/>
  <c r="AC25" i="3" s="1"/>
  <c r="AC26" i="3" s="1"/>
  <c r="AC27" i="3" s="1"/>
  <c r="AC28" i="3" s="1"/>
  <c r="AC29" i="3" s="1"/>
  <c r="AC30" i="3" s="1"/>
  <c r="AC31" i="3" s="1"/>
  <c r="AC32" i="3" s="1"/>
  <c r="AC33" i="3" s="1"/>
  <c r="AC34" i="3" s="1"/>
  <c r="AC35" i="3" s="1"/>
  <c r="AD6" i="3"/>
  <c r="AD7" i="3" s="1"/>
  <c r="AD8" i="3" s="1"/>
  <c r="AD9" i="3" s="1"/>
  <c r="AD10" i="3" s="1"/>
  <c r="AD11" i="3" s="1"/>
  <c r="AD12" i="3" s="1"/>
  <c r="AD13" i="3" s="1"/>
  <c r="AD14" i="3" s="1"/>
  <c r="AD15" i="3" s="1"/>
  <c r="AD16" i="3" s="1"/>
  <c r="AD17" i="3" s="1"/>
  <c r="AD18" i="3" s="1"/>
  <c r="AD19" i="3" s="1"/>
  <c r="AD20" i="3" s="1"/>
  <c r="AD21" i="3" s="1"/>
  <c r="AD22" i="3" s="1"/>
  <c r="AD23" i="3" s="1"/>
  <c r="AD24" i="3" s="1"/>
  <c r="AD25" i="3" s="1"/>
  <c r="AD26" i="3" s="1"/>
  <c r="AD27" i="3" s="1"/>
  <c r="AD28" i="3" s="1"/>
  <c r="AD29" i="3" s="1"/>
  <c r="AD30" i="3" s="1"/>
  <c r="AD31" i="3" s="1"/>
  <c r="AD32" i="3" s="1"/>
  <c r="AD33" i="3" s="1"/>
  <c r="AD34" i="3" s="1"/>
  <c r="AD35" i="3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<sst xmlns="http://schemas.openxmlformats.org/spreadsheetml/2006/main" count="133" uniqueCount="34">
  <si>
    <t>ชื่อ</t>
  </si>
  <si>
    <t>ชื่อเล่น</t>
  </si>
  <si>
    <t>สาขา</t>
  </si>
  <si>
    <t>Month of</t>
  </si>
  <si>
    <t>ตำแหน่ง</t>
  </si>
  <si>
    <t>Shift Manager</t>
  </si>
  <si>
    <t>วัน</t>
  </si>
  <si>
    <t>วันที่</t>
  </si>
  <si>
    <t>เวลาเข้างาน (ตาม roster ที่มีลายเซ็น AC)</t>
  </si>
  <si>
    <t>เวลาสแกนนิ้วเข้างาน (จาก Aloha)</t>
  </si>
  <si>
    <t>เวลาสแกนนิ้วเลิกงาน (จาก Aloha)</t>
  </si>
  <si>
    <t>หมายเหตุ</t>
  </si>
  <si>
    <t>Store Manager</t>
  </si>
  <si>
    <t>Grand Diamond</t>
  </si>
  <si>
    <t>Jew</t>
  </si>
  <si>
    <t>Non</t>
  </si>
  <si>
    <t>Nuttarika Kaewkham</t>
  </si>
  <si>
    <t>Assistant Store Manager</t>
  </si>
  <si>
    <t>Kusuma Duangkan</t>
  </si>
  <si>
    <t>Chanon Jaimool</t>
  </si>
  <si>
    <t>Open</t>
  </si>
  <si>
    <t>Swing</t>
  </si>
  <si>
    <t>Mid</t>
  </si>
  <si>
    <t>Late N</t>
  </si>
  <si>
    <t>Shift</t>
  </si>
  <si>
    <t>Time</t>
  </si>
  <si>
    <t>Total</t>
  </si>
  <si>
    <t>Time Roster</t>
  </si>
  <si>
    <t>Sorawee saebang</t>
  </si>
  <si>
    <t>Sangchai Singchai</t>
  </si>
  <si>
    <t>Nihgt</t>
  </si>
  <si>
    <t>Yo</t>
  </si>
  <si>
    <t>World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</si>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</sst>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d"/>
    <numFmt numFmtId="165" formatCode="[$-409]d\-mmm;@"/>
    <numFmt numFmtId="166" formatCode="[$-F400]h:mm:ss\ AM/PM"/>
  </numFmts>
  <fonts count="16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omic Sans MS"/>
      <family val="4"/>
    </font>
    <font>
      <sz val="11"/>
      <color theme="1"/>
      <name val="Comic Sans MS"/>
      <family val="4"/>
    </font>
    <font>
      <sz val="11"/>
      <color rgb="FF000000"/>
      <name val="Comic Sans MS"/>
      <family val="4"/>
    </font>
    <font>
      <b/>
      <sz val="11"/>
      <color theme="5" tint="-0.249977111117893"/>
      <name val="Comic Sans MS"/>
      <family val="4"/>
    </font>
    <font>
      <sz val="11"/>
      <name val="Comic Sans MS"/>
      <family val="4"/>
    </font>
    <font>
      <sz val="10"/>
      <color theme="1"/>
      <name val="Comic Sans MS"/>
      <family val="4"/>
    </font>
    <font>
      <sz val="10"/>
      <name val="Comic Sans MS"/>
      <family val="4"/>
    </font>
    <font>
      <b/>
      <sz val="12"/>
      <color theme="1"/>
      <name val="Comic Sans MS"/>
      <family val="4"/>
    </font>
    <font>
      <sz val="12"/>
      <color theme="1"/>
      <name val="Comic Sans MS"/>
      <family val="4"/>
    </font>
    <font>
      <sz val="11"/>
      <color rgb="FF9C0006"/>
      <name val="Calibri"/>
      <family val="2"/>
      <scheme val="minor"/>
    </font>
    <font>
      <b/>
      <sz val="11"/>
      <color rgb="FFFFFF99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omic Sans MS"/>
      <family val="4"/>
    </font>
  </fonts>
  <fills count="1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7CE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556A2C"/>
        <bgColor indexed="64"/>
      </patternFill>
    </fill>
    <fill>
      <patternFill patternType="solid">
        <fgColor rgb="FF232C1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rgb="FF000000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6" borderId="0" applyNumberFormat="0" applyBorder="0" applyAlignment="0" applyProtection="0"/>
  </cellStyleXfs>
  <cellXfs count="65">
    <xf numFmtId="0" fontId="0" fillId="0" borderId="0" xfId="0"/>
    <xf numFmtId="0" fontId="2" fillId="0" borderId="0" xfId="2" applyFont="1" applyAlignment="1">
      <alignment horizontal="center" vertical="center"/>
    </xf>
    <xf numFmtId="17" fontId="5" fillId="0" borderId="0" xfId="2" applyNumberFormat="1" applyFont="1" applyAlignment="1">
      <alignment horizontal="center" vertical="center"/>
    </xf>
    <xf numFmtId="17" fontId="5" fillId="0" borderId="0" xfId="2" quotePrefix="1" applyNumberFormat="1" applyFont="1" applyAlignment="1">
      <alignment horizontal="center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center" vertical="center" wrapText="1"/>
    </xf>
    <xf numFmtId="164" fontId="6" fillId="0" borderId="1" xfId="2" applyNumberFormat="1" applyFont="1" applyBorder="1" applyAlignment="1">
      <alignment horizontal="center" vertical="center"/>
    </xf>
    <xf numFmtId="2" fontId="6" fillId="3" borderId="1" xfId="2" applyNumberFormat="1" applyFont="1" applyFill="1" applyBorder="1" applyAlignment="1">
      <alignment horizontal="center" vertical="center"/>
    </xf>
    <xf numFmtId="0" fontId="3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2" applyFont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6" fillId="3" borderId="0" xfId="2" applyFont="1" applyFill="1" applyAlignment="1">
      <alignment horizontal="center" vertical="center"/>
    </xf>
    <xf numFmtId="0" fontId="1" fillId="0" borderId="0" xfId="1" applyAlignment="1">
      <alignment horizontal="center"/>
    </xf>
    <xf numFmtId="0" fontId="7" fillId="2" borderId="1" xfId="2" applyFont="1" applyFill="1" applyBorder="1" applyAlignment="1">
      <alignment horizontal="center" vertical="center" wrapText="1"/>
    </xf>
    <xf numFmtId="165" fontId="6" fillId="0" borderId="1" xfId="2" applyNumberFormat="1" applyFont="1" applyBorder="1" applyAlignment="1">
      <alignment horizontal="center" vertical="center"/>
    </xf>
    <xf numFmtId="165" fontId="8" fillId="0" borderId="1" xfId="2" applyNumberFormat="1" applyFont="1" applyBorder="1" applyAlignment="1">
      <alignment horizontal="center" vertical="center"/>
    </xf>
    <xf numFmtId="164" fontId="6" fillId="0" borderId="0" xfId="2" applyNumberFormat="1" applyFont="1" applyAlignment="1">
      <alignment horizontal="center" vertical="center"/>
    </xf>
    <xf numFmtId="165" fontId="8" fillId="0" borderId="0" xfId="2" applyNumberFormat="1" applyFont="1" applyAlignment="1">
      <alignment horizontal="center" vertical="center"/>
    </xf>
    <xf numFmtId="2" fontId="3" fillId="0" borderId="0" xfId="2" applyNumberFormat="1" applyFont="1" applyAlignment="1">
      <alignment horizontal="center" vertical="center"/>
    </xf>
    <xf numFmtId="2" fontId="6" fillId="0" borderId="0" xfId="2" applyNumberFormat="1" applyFont="1" applyAlignment="1">
      <alignment horizontal="center" vertical="center"/>
    </xf>
    <xf numFmtId="2" fontId="6" fillId="3" borderId="0" xfId="2" applyNumberFormat="1" applyFont="1" applyFill="1" applyAlignment="1">
      <alignment horizontal="center" vertical="center"/>
    </xf>
    <xf numFmtId="165" fontId="6" fillId="0" borderId="0" xfId="2" applyNumberFormat="1" applyFont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166" fontId="12" fillId="9" borderId="9" xfId="5" applyNumberFormat="1" applyFont="1" applyFill="1" applyBorder="1" applyAlignment="1">
      <alignment horizontal="center" vertical="center"/>
    </xf>
    <xf numFmtId="166" fontId="13" fillId="7" borderId="9" xfId="5" applyNumberFormat="1" applyFont="1" applyFill="1" applyBorder="1" applyAlignment="1">
      <alignment horizontal="center" vertical="center"/>
    </xf>
    <xf numFmtId="166" fontId="13" fillId="8" borderId="9" xfId="5" applyNumberFormat="1" applyFont="1" applyFill="1" applyBorder="1" applyAlignment="1">
      <alignment horizontal="center" vertical="center"/>
    </xf>
    <xf numFmtId="166" fontId="14" fillId="10" borderId="9" xfId="5" applyNumberFormat="1" applyFont="1" applyFill="1" applyBorder="1" applyAlignment="1">
      <alignment horizontal="center" vertical="center"/>
    </xf>
    <xf numFmtId="166" fontId="14" fillId="11" borderId="9" xfId="5" applyNumberFormat="1" applyFont="1" applyFill="1" applyBorder="1" applyAlignment="1">
      <alignment horizontal="center" vertical="center"/>
    </xf>
    <xf numFmtId="166" fontId="14" fillId="12" borderId="9" xfId="5" applyNumberFormat="1" applyFont="1" applyFill="1" applyBorder="1" applyAlignment="1">
      <alignment horizontal="center" vertical="center"/>
    </xf>
    <xf numFmtId="166" fontId="14" fillId="13" borderId="9" xfId="5" applyNumberFormat="1" applyFont="1" applyFill="1" applyBorder="1" applyAlignment="1">
      <alignment horizontal="center" vertical="center"/>
    </xf>
    <xf numFmtId="166" fontId="12" fillId="4" borderId="9" xfId="5" applyNumberFormat="1" applyFont="1" applyFill="1" applyBorder="1" applyAlignment="1">
      <alignment horizontal="center" vertical="center"/>
    </xf>
    <xf numFmtId="166" fontId="12" fillId="14" borderId="9" xfId="5" applyNumberFormat="1" applyFont="1" applyFill="1" applyBorder="1" applyAlignment="1">
      <alignment horizontal="center" vertical="center"/>
    </xf>
    <xf numFmtId="166" fontId="12" fillId="15" borderId="9" xfId="5" applyNumberFormat="1" applyFont="1" applyFill="1" applyBorder="1" applyAlignment="1">
      <alignment horizontal="center" vertical="center"/>
    </xf>
    <xf numFmtId="0" fontId="0" fillId="16" borderId="6" xfId="0" applyFill="1" applyBorder="1" applyAlignment="1">
      <alignment horizontal="center" vertical="center"/>
    </xf>
    <xf numFmtId="0" fontId="0" fillId="16" borderId="7" xfId="0" applyFill="1" applyBorder="1" applyAlignment="1">
      <alignment horizontal="center" vertical="center"/>
    </xf>
    <xf numFmtId="0" fontId="0" fillId="16" borderId="8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2" fontId="3" fillId="3" borderId="1" xfId="2" applyNumberFormat="1" applyFont="1" applyFill="1" applyBorder="1" applyAlignment="1">
      <alignment horizontal="center" vertical="center"/>
    </xf>
    <xf numFmtId="0" fontId="15" fillId="2" borderId="1" xfId="2" applyFont="1" applyFill="1" applyBorder="1" applyAlignment="1">
      <alignment horizontal="center" vertical="center" wrapText="1"/>
    </xf>
    <xf numFmtId="0" fontId="3" fillId="17" borderId="2" xfId="2" applyFont="1" applyFill="1" applyBorder="1" applyAlignment="1">
      <alignment horizontal="center" vertical="center"/>
    </xf>
    <xf numFmtId="0" fontId="0" fillId="16" borderId="6" xfId="0" applyFill="1" applyBorder="1" applyAlignment="1">
      <alignment horizontal="center" vertical="center"/>
    </xf>
    <xf numFmtId="0" fontId="0" fillId="16" borderId="8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66" fontId="14" fillId="12" borderId="10" xfId="5" applyNumberFormat="1" applyFont="1" applyFill="1" applyBorder="1" applyAlignment="1">
      <alignment horizontal="center" vertical="center"/>
    </xf>
    <xf numFmtId="166" fontId="14" fillId="12" borderId="12" xfId="5" applyNumberFormat="1" applyFont="1" applyFill="1" applyBorder="1" applyAlignment="1">
      <alignment horizontal="center" vertical="center"/>
    </xf>
    <xf numFmtId="0" fontId="0" fillId="16" borderId="7" xfId="0" applyFill="1" applyBorder="1" applyAlignment="1">
      <alignment horizontal="center" vertical="center"/>
    </xf>
    <xf numFmtId="166" fontId="12" fillId="4" borderId="10" xfId="5" applyNumberFormat="1" applyFont="1" applyFill="1" applyBorder="1" applyAlignment="1">
      <alignment horizontal="center" vertical="center"/>
    </xf>
    <xf numFmtId="166" fontId="12" fillId="4" borderId="11" xfId="5" applyNumberFormat="1" applyFont="1" applyFill="1" applyBorder="1" applyAlignment="1">
      <alignment horizontal="center" vertical="center"/>
    </xf>
    <xf numFmtId="166" fontId="12" fillId="4" borderId="12" xfId="5" applyNumberFormat="1" applyFont="1" applyFill="1" applyBorder="1" applyAlignment="1">
      <alignment horizontal="center" vertical="center"/>
    </xf>
    <xf numFmtId="166" fontId="12" fillId="9" borderId="10" xfId="5" applyNumberFormat="1" applyFont="1" applyFill="1" applyBorder="1" applyAlignment="1">
      <alignment horizontal="center" vertical="center"/>
    </xf>
    <xf numFmtId="166" fontId="12" fillId="9" borderId="11" xfId="5" applyNumberFormat="1" applyFont="1" applyFill="1" applyBorder="1" applyAlignment="1">
      <alignment horizontal="center" vertical="center"/>
    </xf>
    <xf numFmtId="166" fontId="12" fillId="9" borderId="12" xfId="5" applyNumberFormat="1" applyFont="1" applyFill="1" applyBorder="1" applyAlignment="1">
      <alignment horizontal="center" vertical="center"/>
    </xf>
    <xf numFmtId="0" fontId="3" fillId="17" borderId="3" xfId="2" applyFont="1" applyFill="1" applyBorder="1" applyAlignment="1">
      <alignment horizontal="center" vertical="center"/>
    </xf>
    <xf numFmtId="0" fontId="10" fillId="17" borderId="3" xfId="2" applyFont="1" applyFill="1" applyBorder="1" applyAlignment="1">
      <alignment horizontal="center" vertical="center"/>
    </xf>
    <xf numFmtId="0" fontId="3" fillId="17" borderId="2" xfId="2" applyFont="1" applyFill="1" applyBorder="1" applyAlignment="1">
      <alignment horizontal="center" vertical="center"/>
    </xf>
    <xf numFmtId="0" fontId="4" fillId="18" borderId="2" xfId="2" applyFont="1" applyFill="1" applyBorder="1" applyAlignment="1">
      <alignment horizontal="center" vertical="center"/>
    </xf>
    <xf numFmtId="0" fontId="9" fillId="17" borderId="3" xfId="2" applyFont="1" applyFill="1" applyBorder="1" applyAlignment="1">
      <alignment horizontal="center" vertical="center"/>
    </xf>
    <xf numFmtId="0" fontId="3" fillId="17" borderId="4" xfId="2" applyFont="1" applyFill="1" applyBorder="1" applyAlignment="1">
      <alignment horizontal="center" vertical="center"/>
    </xf>
  </cellXfs>
  <cellStyles count="6">
    <cellStyle name="Normal 2" xfId="1" xr:uid="{00000000-0005-0000-0000-000001000000}"/>
    <cellStyle name="Normal 2 2" xfId="2" xr:uid="{00000000-0005-0000-0000-000002000000}"/>
    <cellStyle name="Normal 2 3" xfId="3" xr:uid="{00000000-0005-0000-0000-000003000000}"/>
    <cellStyle name="Normal 5" xfId="4" xr:uid="{00000000-0005-0000-0000-000004000000}"/>
    <cellStyle name="แย่" xfId="5" builtinId="27"/>
    <cellStyle name="ปกติ" xfId="0" builtinId="0"/>
  </cellStyles>
  <dxfs count="0"/>
  <tableStyles count="0" defaultTableStyle="TableStyleMedium9" defaultPivotStyle="PivotStyleLight16"/>
  <colors>
    <mruColors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52"/>
  <sheetViews>
    <sheetView tabSelected="1" zoomScale="85" zoomScaleNormal="85" workbookViewId="0">
      <selection activeCell="G23" sqref="G23"/>
    </sheetView>
  </sheetViews>
  <sheetFormatPr defaultColWidth="10.42578125" defaultRowHeight="15"/>
  <cols>
    <col min="1" max="1" width="9.85546875" style="9" customWidth="1"/>
    <col min="2" max="2" width="8.7109375" style="9" customWidth="1"/>
    <col min="3" max="3" width="23.85546875" style="9" customWidth="1"/>
    <col min="4" max="4" width="10.42578125" style="9"/>
    <col min="5" max="5" width="11.7109375" style="9" customWidth="1"/>
    <col min="6" max="6" width="11.5703125" style="9" customWidth="1"/>
    <col min="7" max="7" width="10.42578125" style="9"/>
    <col min="8" max="8" width="9.85546875" style="9" customWidth="1"/>
    <col min="9" max="9" width="8.85546875" style="9" customWidth="1"/>
    <col min="10" max="10" width="23.85546875" style="9" customWidth="1"/>
    <col min="11" max="11" width="11" style="9" customWidth="1"/>
    <col min="12" max="12" width="11.140625" style="9" customWidth="1"/>
    <col min="13" max="13" width="11.42578125" style="9" customWidth="1"/>
    <col min="14" max="14" width="10.42578125" style="9"/>
    <col min="15" max="15" width="9.85546875" style="9" customWidth="1"/>
    <col min="16" max="16" width="8.85546875" style="9" customWidth="1"/>
    <col min="17" max="17" width="24" style="9" customWidth="1"/>
    <col min="18" max="18" width="11.140625" style="9" customWidth="1"/>
    <col min="19" max="19" width="11.28515625" style="9" customWidth="1"/>
    <col min="20" max="20" width="12.140625" style="9" customWidth="1"/>
    <col min="21" max="21" width="10.42578125" style="9"/>
    <col min="22" max="22" width="9.85546875" style="9" customWidth="1"/>
    <col min="23" max="23" width="8.85546875" style="9" customWidth="1"/>
    <col min="24" max="24" width="23.85546875" style="9" customWidth="1"/>
    <col min="25" max="25" width="11" style="9" customWidth="1"/>
    <col min="26" max="26" width="11.140625" style="9" customWidth="1"/>
    <col min="27" max="27" width="10.85546875" style="9" customWidth="1"/>
    <col min="28" max="28" width="10.42578125" style="9"/>
    <col min="29" max="29" width="9.85546875" style="9" customWidth="1"/>
    <col min="30" max="30" width="8.7109375" style="9" customWidth="1"/>
    <col min="31" max="31" width="24.42578125" style="9" customWidth="1"/>
    <col min="32" max="32" width="10.7109375" style="9" customWidth="1"/>
    <col min="33" max="33" width="11.7109375" style="9" customWidth="1"/>
    <col min="34" max="34" width="11.28515625" style="9" customWidth="1"/>
    <col min="35" max="16384" width="10.42578125" style="9"/>
  </cols>
  <sheetData>
    <row r="1" spans="1:34" ht="18">
      <c r="A1" s="1" t="s">
        <v>0</v>
      </c>
      <c r="B1" s="61" t="s">
        <v>29</v>
      </c>
      <c r="C1" s="61"/>
      <c r="D1" s="1" t="s">
        <v>1</v>
      </c>
      <c r="E1" s="43" t="s">
        <v>30</v>
      </c>
      <c r="F1" s="8"/>
      <c r="G1" s="8"/>
      <c r="H1" s="1" t="s">
        <v>0</v>
      </c>
      <c r="I1" s="62" t="s">
        <v>16</v>
      </c>
      <c r="J1" s="62"/>
      <c r="K1" s="1" t="s">
        <v>1</v>
      </c>
      <c r="L1" s="43" t="s">
        <v>14</v>
      </c>
      <c r="M1" s="8"/>
      <c r="N1" s="8"/>
      <c r="O1" s="1" t="s">
        <v>0</v>
      </c>
      <c r="P1" s="61" t="s">
        <v>18</v>
      </c>
      <c r="Q1" s="61"/>
      <c r="R1" s="1" t="s">
        <v>1</v>
      </c>
      <c r="S1" s="43" t="s">
        <v>31</v>
      </c>
      <c r="T1" s="8"/>
      <c r="V1" s="1" t="s">
        <v>0</v>
      </c>
      <c r="W1" s="61" t="s">
        <v>19</v>
      </c>
      <c r="X1" s="61"/>
      <c r="Y1" s="1" t="s">
        <v>1</v>
      </c>
      <c r="Z1" s="43" t="s">
        <v>15</v>
      </c>
      <c r="AA1" s="8"/>
      <c r="AC1" s="1" t="s">
        <v>0</v>
      </c>
      <c r="AD1" s="61" t="s">
        <v>28</v>
      </c>
      <c r="AE1" s="61"/>
      <c r="AF1" s="1" t="s">
        <v>1</v>
      </c>
      <c r="AG1" s="43" t="s">
        <v>32</v>
      </c>
      <c r="AH1" s="8"/>
    </row>
    <row r="2" spans="1:34" ht="19.5">
      <c r="A2" s="1" t="s">
        <v>2</v>
      </c>
      <c r="B2" s="63" t="s">
        <v>13</v>
      </c>
      <c r="C2" s="63"/>
      <c r="D2" s="1" t="s">
        <v>3</v>
      </c>
      <c r="E2" s="2" t="s">
        <v>33</v>
      </c>
      <c r="F2" s="8"/>
      <c r="G2" s="8"/>
      <c r="H2" s="1" t="s">
        <v>2</v>
      </c>
      <c r="I2" s="63" t="str">
        <f>B2</f>
        <v>Grand Diamond</v>
      </c>
      <c r="J2" s="63"/>
      <c r="K2" s="1" t="s">
        <v>3</v>
      </c>
      <c r="L2" s="2" t="str">
        <f>E2</f>
        <v>May</v>
      </c>
      <c r="M2" s="8"/>
      <c r="N2" s="8"/>
      <c r="O2" s="1" t="s">
        <v>2</v>
      </c>
      <c r="P2" s="63" t="str">
        <f>I2</f>
        <v>Grand Diamond</v>
      </c>
      <c r="Q2" s="63"/>
      <c r="R2" s="1" t="s">
        <v>3</v>
      </c>
      <c r="S2" s="2" t="str">
        <f>L2</f>
        <v>May</v>
      </c>
      <c r="T2" s="8"/>
      <c r="V2" s="1" t="s">
        <v>2</v>
      </c>
      <c r="W2" s="63" t="str">
        <f>P2</f>
        <v>Grand Diamond</v>
      </c>
      <c r="X2" s="63"/>
      <c r="Y2" s="1" t="s">
        <v>3</v>
      </c>
      <c r="Z2" s="2" t="str">
        <f>S2</f>
        <v>May</v>
      </c>
      <c r="AA2" s="8"/>
      <c r="AC2" s="1" t="s">
        <v>2</v>
      </c>
      <c r="AD2" s="60" t="s">
        <v>13</v>
      </c>
      <c r="AE2" s="60"/>
      <c r="AF2" s="1" t="s">
        <v>3</v>
      </c>
      <c r="AG2" s="2" t="str">
        <f>Z2</f>
        <v>May</v>
      </c>
      <c r="AH2" s="8"/>
    </row>
    <row r="3" spans="1:34" ht="18">
      <c r="A3" s="1" t="s">
        <v>4</v>
      </c>
      <c r="B3" s="64" t="s">
        <v>12</v>
      </c>
      <c r="C3" s="64"/>
      <c r="D3" s="1"/>
      <c r="E3" s="3"/>
      <c r="F3" s="8"/>
      <c r="G3" s="8"/>
      <c r="H3" s="1" t="s">
        <v>4</v>
      </c>
      <c r="I3" s="64" t="s">
        <v>17</v>
      </c>
      <c r="J3" s="64"/>
      <c r="K3" s="1"/>
      <c r="L3" s="3"/>
      <c r="M3" s="8"/>
      <c r="N3" s="8"/>
      <c r="O3" s="1" t="s">
        <v>4</v>
      </c>
      <c r="P3" s="64" t="s">
        <v>17</v>
      </c>
      <c r="Q3" s="64"/>
      <c r="R3" s="1"/>
      <c r="S3" s="3"/>
      <c r="T3" s="8"/>
      <c r="V3" s="1" t="s">
        <v>4</v>
      </c>
      <c r="W3" s="59" t="s">
        <v>5</v>
      </c>
      <c r="X3" s="59"/>
      <c r="Y3" s="1"/>
      <c r="Z3" s="3"/>
      <c r="AA3" s="8"/>
      <c r="AC3" s="1" t="s">
        <v>4</v>
      </c>
      <c r="AD3" s="59" t="s">
        <v>5</v>
      </c>
      <c r="AE3" s="59"/>
      <c r="AF3" s="1"/>
      <c r="AG3" s="3"/>
      <c r="AH3" s="8"/>
    </row>
    <row r="4" spans="1:34" ht="60">
      <c r="A4" s="4" t="s">
        <v>6</v>
      </c>
      <c r="B4" s="4" t="s">
        <v>7</v>
      </c>
      <c r="C4" s="14" t="s">
        <v>8</v>
      </c>
      <c r="D4" s="42" t="s">
        <v>9</v>
      </c>
      <c r="E4" s="42" t="s">
        <v>10</v>
      </c>
      <c r="F4" s="5" t="s">
        <v>11</v>
      </c>
      <c r="G4" s="10"/>
      <c r="H4" s="4" t="s">
        <v>6</v>
      </c>
      <c r="I4" s="4" t="s">
        <v>7</v>
      </c>
      <c r="J4" s="14" t="s">
        <v>8</v>
      </c>
      <c r="K4" s="42" t="s">
        <v>9</v>
      </c>
      <c r="L4" s="42" t="s">
        <v>10</v>
      </c>
      <c r="M4" s="5" t="s">
        <v>11</v>
      </c>
      <c r="N4" s="10"/>
      <c r="O4" s="4" t="s">
        <v>6</v>
      </c>
      <c r="P4" s="4" t="s">
        <v>7</v>
      </c>
      <c r="Q4" s="14" t="s">
        <v>8</v>
      </c>
      <c r="R4" s="42" t="s">
        <v>9</v>
      </c>
      <c r="S4" s="42" t="s">
        <v>10</v>
      </c>
      <c r="T4" s="5" t="s">
        <v>11</v>
      </c>
      <c r="V4" s="4" t="s">
        <v>6</v>
      </c>
      <c r="W4" s="4" t="s">
        <v>7</v>
      </c>
      <c r="X4" s="14" t="s">
        <v>8</v>
      </c>
      <c r="Y4" s="42" t="s">
        <v>9</v>
      </c>
      <c r="Z4" s="42" t="s">
        <v>10</v>
      </c>
      <c r="AA4" s="5" t="s">
        <v>11</v>
      </c>
      <c r="AC4" s="4" t="s">
        <v>6</v>
      </c>
      <c r="AD4" s="4" t="s">
        <v>7</v>
      </c>
      <c r="AE4" s="14" t="s">
        <v>8</v>
      </c>
      <c r="AF4" s="14" t="s">
        <v>9</v>
      </c>
      <c r="AG4" s="14" t="s">
        <v>10</v>
      </c>
      <c r="AH4" s="5" t="s">
        <v>11</v>
      </c>
    </row>
    <row r="5" spans="1:34" ht="16.5">
      <c r="A5" s="6">
        <f>B5</f>
        <v>45962</v>
      </c>
      <c r="B5" s="16">
        <v>45962</v>
      </c>
      <c r="C5" s="41"/>
      <c r="D5" s="7"/>
      <c r="E5" s="7"/>
      <c r="F5" s="7"/>
      <c r="G5" s="11"/>
      <c r="H5" s="6">
        <f>I5</f>
        <v>45962</v>
      </c>
      <c r="I5" s="16">
        <f>B5</f>
        <v>45962</v>
      </c>
      <c r="J5" s="41"/>
      <c r="K5" s="7"/>
      <c r="L5" s="7"/>
      <c r="M5" s="7"/>
      <c r="N5" s="11"/>
      <c r="O5" s="6">
        <f>P5</f>
        <v>45962</v>
      </c>
      <c r="P5" s="16">
        <f>I5</f>
        <v>45962</v>
      </c>
      <c r="Q5" s="41"/>
      <c r="R5" s="7"/>
      <c r="S5" s="7"/>
      <c r="T5" s="7"/>
      <c r="V5" s="6">
        <f>W5</f>
        <v>45962</v>
      </c>
      <c r="W5" s="16">
        <f>P5</f>
        <v>45962</v>
      </c>
      <c r="X5" s="41"/>
      <c r="Y5" s="7"/>
      <c r="Z5" s="7"/>
      <c r="AA5" s="7"/>
      <c r="AC5" s="6">
        <f>AD5</f>
        <v>45962</v>
      </c>
      <c r="AD5" s="15">
        <f>W5</f>
        <v>45962</v>
      </c>
      <c r="AE5" s="41"/>
      <c r="AF5" s="7"/>
      <c r="AG5" s="7"/>
      <c r="AH5" s="7"/>
    </row>
    <row r="6" spans="1:34" ht="16.5">
      <c r="A6" s="6">
        <f>A5+1</f>
        <v>45963</v>
      </c>
      <c r="B6" s="16">
        <f>B5+1</f>
        <v>45963</v>
      </c>
      <c r="C6" s="41"/>
      <c r="D6" s="7"/>
      <c r="E6" s="7"/>
      <c r="F6" s="7"/>
      <c r="G6" s="11"/>
      <c r="H6" s="6">
        <f>H5+1</f>
        <v>45963</v>
      </c>
      <c r="I6" s="16">
        <f>I5+1</f>
        <v>45963</v>
      </c>
      <c r="J6" s="41"/>
      <c r="K6" s="7"/>
      <c r="L6" s="7"/>
      <c r="M6" s="7"/>
      <c r="N6" s="11"/>
      <c r="O6" s="6">
        <f>O5+1</f>
        <v>45963</v>
      </c>
      <c r="P6" s="16">
        <f>P5+1</f>
        <v>45963</v>
      </c>
      <c r="Q6" s="41"/>
      <c r="R6" s="7"/>
      <c r="S6" s="7"/>
      <c r="T6" s="7"/>
      <c r="V6" s="6">
        <f>V5+1</f>
        <v>45963</v>
      </c>
      <c r="W6" s="16">
        <f>W5+1</f>
        <v>45963</v>
      </c>
      <c r="X6" s="41"/>
      <c r="Y6" s="7"/>
      <c r="Z6" s="7"/>
      <c r="AA6" s="7"/>
      <c r="AC6" s="6">
        <f>AC5+1</f>
        <v>45963</v>
      </c>
      <c r="AD6" s="15">
        <f>AD5+1</f>
        <v>45963</v>
      </c>
      <c r="AE6" s="41"/>
      <c r="AF6" s="7"/>
      <c r="AG6" s="7"/>
      <c r="AH6" s="7"/>
    </row>
    <row r="7" spans="1:34" ht="16.5">
      <c r="A7" s="6">
        <f t="shared" ref="A7:B22" si="0">A6+1</f>
        <v>45964</v>
      </c>
      <c r="B7" s="16">
        <f t="shared" si="0"/>
        <v>45964</v>
      </c>
      <c r="C7" s="41"/>
      <c r="D7" s="7"/>
      <c r="E7" s="7"/>
      <c r="F7" s="7"/>
      <c r="G7" s="11"/>
      <c r="H7" s="6">
        <f t="shared" ref="H7:I22" si="1">H6+1</f>
        <v>45964</v>
      </c>
      <c r="I7" s="16">
        <f t="shared" si="1"/>
        <v>45964</v>
      </c>
      <c r="J7" s="41"/>
      <c r="K7" s="7"/>
      <c r="L7" s="7"/>
      <c r="M7" s="7"/>
      <c r="N7" s="11"/>
      <c r="O7" s="6">
        <f t="shared" ref="O7:P22" si="2">O6+1</f>
        <v>45964</v>
      </c>
      <c r="P7" s="16">
        <f t="shared" si="2"/>
        <v>45964</v>
      </c>
      <c r="Q7" s="41"/>
      <c r="R7" s="7"/>
      <c r="S7" s="7"/>
      <c r="T7" s="7"/>
      <c r="V7" s="6">
        <f t="shared" ref="V7:W22" si="3">V6+1</f>
        <v>45964</v>
      </c>
      <c r="W7" s="16">
        <f t="shared" si="3"/>
        <v>45964</v>
      </c>
      <c r="X7" s="41"/>
      <c r="Y7" s="7"/>
      <c r="Z7" s="7"/>
      <c r="AA7" s="7"/>
      <c r="AC7" s="6">
        <f t="shared" ref="AC7:AD22" si="4">AC6+1</f>
        <v>45964</v>
      </c>
      <c r="AD7" s="15">
        <f t="shared" si="4"/>
        <v>45964</v>
      </c>
      <c r="AE7" s="41"/>
      <c r="AF7" s="7"/>
      <c r="AG7" s="7"/>
      <c r="AH7" s="7"/>
    </row>
    <row r="8" spans="1:34" ht="16.5">
      <c r="A8" s="6">
        <f t="shared" si="0"/>
        <v>45965</v>
      </c>
      <c r="B8" s="16">
        <f t="shared" si="0"/>
        <v>45965</v>
      </c>
      <c r="C8" s="41"/>
      <c r="D8" s="7"/>
      <c r="E8" s="7"/>
      <c r="F8" s="7"/>
      <c r="G8" s="11"/>
      <c r="H8" s="6">
        <f t="shared" si="1"/>
        <v>45965</v>
      </c>
      <c r="I8" s="16">
        <f t="shared" si="1"/>
        <v>45965</v>
      </c>
      <c r="J8" s="41"/>
      <c r="K8" s="7"/>
      <c r="L8" s="7"/>
      <c r="M8" s="7"/>
      <c r="N8" s="11"/>
      <c r="O8" s="6">
        <f t="shared" si="2"/>
        <v>45965</v>
      </c>
      <c r="P8" s="16">
        <f t="shared" si="2"/>
        <v>45965</v>
      </c>
      <c r="Q8" s="41"/>
      <c r="R8" s="7"/>
      <c r="S8" s="7"/>
      <c r="T8" s="7"/>
      <c r="V8" s="6">
        <f t="shared" si="3"/>
        <v>45965</v>
      </c>
      <c r="W8" s="16">
        <f t="shared" si="3"/>
        <v>45965</v>
      </c>
      <c r="X8" s="41"/>
      <c r="Y8" s="7"/>
      <c r="Z8" s="7"/>
      <c r="AA8" s="7"/>
      <c r="AC8" s="6">
        <f t="shared" si="4"/>
        <v>45965</v>
      </c>
      <c r="AD8" s="15">
        <f t="shared" si="4"/>
        <v>45965</v>
      </c>
      <c r="AE8" s="41"/>
      <c r="AF8" s="7"/>
      <c r="AG8" s="7"/>
      <c r="AH8" s="7"/>
    </row>
    <row r="9" spans="1:34" ht="16.5">
      <c r="A9" s="6">
        <f t="shared" si="0"/>
        <v>45966</v>
      </c>
      <c r="B9" s="16">
        <f t="shared" si="0"/>
        <v>45966</v>
      </c>
      <c r="C9" s="41"/>
      <c r="D9" s="7"/>
      <c r="E9" s="7"/>
      <c r="F9" s="7"/>
      <c r="G9" s="11"/>
      <c r="H9" s="6">
        <f t="shared" si="1"/>
        <v>45966</v>
      </c>
      <c r="I9" s="16">
        <f t="shared" si="1"/>
        <v>45966</v>
      </c>
      <c r="J9" s="41"/>
      <c r="K9" s="7"/>
      <c r="L9" s="7"/>
      <c r="M9" s="7"/>
      <c r="N9" s="11"/>
      <c r="O9" s="6">
        <f t="shared" si="2"/>
        <v>45966</v>
      </c>
      <c r="P9" s="16">
        <f t="shared" si="2"/>
        <v>45966</v>
      </c>
      <c r="Q9" s="41"/>
      <c r="R9" s="7"/>
      <c r="S9" s="7"/>
      <c r="T9" s="7"/>
      <c r="V9" s="6">
        <f t="shared" si="3"/>
        <v>45966</v>
      </c>
      <c r="W9" s="16">
        <f t="shared" si="3"/>
        <v>45966</v>
      </c>
      <c r="X9" s="41"/>
      <c r="Y9" s="7"/>
      <c r="Z9" s="7"/>
      <c r="AA9" s="7"/>
      <c r="AC9" s="6">
        <f t="shared" si="4"/>
        <v>45966</v>
      </c>
      <c r="AD9" s="15">
        <f t="shared" si="4"/>
        <v>45966</v>
      </c>
      <c r="AE9" s="41"/>
      <c r="AF9" s="7"/>
      <c r="AG9" s="7"/>
      <c r="AH9" s="7"/>
    </row>
    <row r="10" spans="1:34" ht="16.5">
      <c r="A10" s="6">
        <f t="shared" si="0"/>
        <v>45967</v>
      </c>
      <c r="B10" s="16">
        <f t="shared" si="0"/>
        <v>45967</v>
      </c>
      <c r="C10" s="41"/>
      <c r="D10" s="7"/>
      <c r="E10" s="7"/>
      <c r="F10" s="7"/>
      <c r="G10" s="11"/>
      <c r="H10" s="6">
        <f t="shared" si="1"/>
        <v>45967</v>
      </c>
      <c r="I10" s="16">
        <f t="shared" si="1"/>
        <v>45967</v>
      </c>
      <c r="J10" s="41"/>
      <c r="K10" s="7"/>
      <c r="L10" s="7"/>
      <c r="M10" s="7"/>
      <c r="N10" s="11"/>
      <c r="O10" s="6">
        <f t="shared" si="2"/>
        <v>45967</v>
      </c>
      <c r="P10" s="16">
        <f t="shared" si="2"/>
        <v>45967</v>
      </c>
      <c r="Q10" s="41"/>
      <c r="R10" s="7"/>
      <c r="S10" s="7"/>
      <c r="T10" s="7"/>
      <c r="V10" s="6">
        <f t="shared" si="3"/>
        <v>45967</v>
      </c>
      <c r="W10" s="16">
        <f t="shared" si="3"/>
        <v>45967</v>
      </c>
      <c r="X10" s="41"/>
      <c r="Y10" s="7"/>
      <c r="Z10" s="7"/>
      <c r="AA10" s="7"/>
      <c r="AC10" s="6">
        <f t="shared" si="4"/>
        <v>45967</v>
      </c>
      <c r="AD10" s="15">
        <f t="shared" si="4"/>
        <v>45967</v>
      </c>
      <c r="AE10" s="41"/>
      <c r="AF10" s="7"/>
      <c r="AG10" s="7"/>
      <c r="AH10" s="7"/>
    </row>
    <row r="11" spans="1:34" ht="16.5">
      <c r="A11" s="6">
        <f t="shared" si="0"/>
        <v>45968</v>
      </c>
      <c r="B11" s="16">
        <f t="shared" si="0"/>
        <v>45968</v>
      </c>
      <c r="C11" s="41"/>
      <c r="D11" s="7"/>
      <c r="E11" s="7"/>
      <c r="F11" s="7"/>
      <c r="G11" s="11"/>
      <c r="H11" s="6">
        <f t="shared" si="1"/>
        <v>45968</v>
      </c>
      <c r="I11" s="16">
        <f t="shared" si="1"/>
        <v>45968</v>
      </c>
      <c r="J11" s="41"/>
      <c r="K11" s="7"/>
      <c r="L11" s="7"/>
      <c r="M11" s="7"/>
      <c r="N11" s="11"/>
      <c r="O11" s="6">
        <f t="shared" si="2"/>
        <v>45968</v>
      </c>
      <c r="P11" s="16">
        <f t="shared" si="2"/>
        <v>45968</v>
      </c>
      <c r="Q11" s="41"/>
      <c r="R11" s="7"/>
      <c r="S11" s="7"/>
      <c r="T11" s="7"/>
      <c r="V11" s="6">
        <f t="shared" si="3"/>
        <v>45968</v>
      </c>
      <c r="W11" s="16">
        <f t="shared" si="3"/>
        <v>45968</v>
      </c>
      <c r="X11" s="41"/>
      <c r="Y11" s="7"/>
      <c r="Z11" s="7"/>
      <c r="AA11" s="7"/>
      <c r="AC11" s="6">
        <f t="shared" si="4"/>
        <v>45968</v>
      </c>
      <c r="AD11" s="15">
        <f t="shared" si="4"/>
        <v>45968</v>
      </c>
      <c r="AE11" s="41"/>
      <c r="AF11" s="7"/>
      <c r="AG11" s="7"/>
      <c r="AH11" s="7"/>
    </row>
    <row r="12" spans="1:34" ht="16.5">
      <c r="A12" s="6">
        <f t="shared" si="0"/>
        <v>45969</v>
      </c>
      <c r="B12" s="16">
        <f t="shared" si="0"/>
        <v>45969</v>
      </c>
      <c r="C12" s="41"/>
      <c r="D12" s="7"/>
      <c r="E12" s="7"/>
      <c r="F12" s="7"/>
      <c r="G12" s="11"/>
      <c r="H12" s="6">
        <f t="shared" si="1"/>
        <v>45969</v>
      </c>
      <c r="I12" s="16">
        <f t="shared" si="1"/>
        <v>45969</v>
      </c>
      <c r="J12" s="41"/>
      <c r="K12" s="7"/>
      <c r="L12" s="7"/>
      <c r="M12" s="7"/>
      <c r="N12" s="11"/>
      <c r="O12" s="6">
        <f t="shared" si="2"/>
        <v>45969</v>
      </c>
      <c r="P12" s="16">
        <f t="shared" si="2"/>
        <v>45969</v>
      </c>
      <c r="Q12" s="41"/>
      <c r="R12" s="7"/>
      <c r="S12" s="7"/>
      <c r="T12" s="7"/>
      <c r="V12" s="6">
        <f t="shared" si="3"/>
        <v>45969</v>
      </c>
      <c r="W12" s="16">
        <f t="shared" si="3"/>
        <v>45969</v>
      </c>
      <c r="X12" s="41"/>
      <c r="Y12" s="7"/>
      <c r="Z12" s="7"/>
      <c r="AA12" s="7"/>
      <c r="AC12" s="6">
        <f t="shared" si="4"/>
        <v>45969</v>
      </c>
      <c r="AD12" s="15">
        <f t="shared" si="4"/>
        <v>45969</v>
      </c>
      <c r="AE12" s="41"/>
      <c r="AF12" s="7"/>
      <c r="AG12" s="7"/>
      <c r="AH12" s="7"/>
    </row>
    <row r="13" spans="1:34" ht="16.5">
      <c r="A13" s="6">
        <f t="shared" si="0"/>
        <v>45970</v>
      </c>
      <c r="B13" s="16">
        <f t="shared" si="0"/>
        <v>45970</v>
      </c>
      <c r="C13" s="41"/>
      <c r="D13" s="7"/>
      <c r="E13" s="7"/>
      <c r="F13" s="7"/>
      <c r="G13" s="11"/>
      <c r="H13" s="6">
        <f t="shared" si="1"/>
        <v>45970</v>
      </c>
      <c r="I13" s="16">
        <f t="shared" si="1"/>
        <v>45970</v>
      </c>
      <c r="J13" s="41"/>
      <c r="K13" s="7"/>
      <c r="L13" s="7"/>
      <c r="M13" s="7"/>
      <c r="N13" s="11"/>
      <c r="O13" s="6">
        <f t="shared" si="2"/>
        <v>45970</v>
      </c>
      <c r="P13" s="16">
        <f t="shared" si="2"/>
        <v>45970</v>
      </c>
      <c r="Q13" s="41"/>
      <c r="R13" s="7"/>
      <c r="S13" s="7"/>
      <c r="T13" s="7"/>
      <c r="V13" s="6">
        <f t="shared" si="3"/>
        <v>45970</v>
      </c>
      <c r="W13" s="16">
        <f t="shared" si="3"/>
        <v>45970</v>
      </c>
      <c r="X13" s="41"/>
      <c r="Y13" s="7"/>
      <c r="Z13" s="7"/>
      <c r="AA13" s="7"/>
      <c r="AC13" s="6">
        <f t="shared" si="4"/>
        <v>45970</v>
      </c>
      <c r="AD13" s="15">
        <f t="shared" si="4"/>
        <v>45970</v>
      </c>
      <c r="AE13" s="41"/>
      <c r="AF13" s="7"/>
      <c r="AG13" s="7"/>
      <c r="AH13" s="7"/>
    </row>
    <row r="14" spans="1:34" ht="16.5">
      <c r="A14" s="6">
        <f t="shared" si="0"/>
        <v>45971</v>
      </c>
      <c r="B14" s="16">
        <f t="shared" si="0"/>
        <v>45971</v>
      </c>
      <c r="C14" s="41"/>
      <c r="D14" s="7"/>
      <c r="E14" s="7"/>
      <c r="F14" s="7"/>
      <c r="G14" s="11"/>
      <c r="H14" s="6">
        <f t="shared" si="1"/>
        <v>45971</v>
      </c>
      <c r="I14" s="16">
        <f t="shared" si="1"/>
        <v>45971</v>
      </c>
      <c r="J14" s="41"/>
      <c r="K14" s="7"/>
      <c r="L14" s="7"/>
      <c r="M14" s="7"/>
      <c r="N14" s="11"/>
      <c r="O14" s="6">
        <f t="shared" si="2"/>
        <v>45971</v>
      </c>
      <c r="P14" s="16">
        <f t="shared" si="2"/>
        <v>45971</v>
      </c>
      <c r="Q14" s="41"/>
      <c r="R14" s="7"/>
      <c r="S14" s="7"/>
      <c r="T14" s="7"/>
      <c r="V14" s="6">
        <f t="shared" si="3"/>
        <v>45971</v>
      </c>
      <c r="W14" s="16">
        <f t="shared" si="3"/>
        <v>45971</v>
      </c>
      <c r="X14" s="41"/>
      <c r="Y14" s="7"/>
      <c r="Z14" s="7"/>
      <c r="AA14" s="7"/>
      <c r="AC14" s="6">
        <f t="shared" si="4"/>
        <v>45971</v>
      </c>
      <c r="AD14" s="15">
        <f t="shared" si="4"/>
        <v>45971</v>
      </c>
      <c r="AE14" s="41"/>
      <c r="AF14" s="7"/>
      <c r="AG14" s="7"/>
      <c r="AH14" s="7"/>
    </row>
    <row r="15" spans="1:34" ht="16.5">
      <c r="A15" s="6">
        <f t="shared" si="0"/>
        <v>45972</v>
      </c>
      <c r="B15" s="16">
        <f t="shared" si="0"/>
        <v>45972</v>
      </c>
      <c r="C15" s="41"/>
      <c r="D15" s="7"/>
      <c r="E15" s="7"/>
      <c r="F15" s="7"/>
      <c r="G15" s="11"/>
      <c r="H15" s="6">
        <f t="shared" si="1"/>
        <v>45972</v>
      </c>
      <c r="I15" s="16">
        <f t="shared" si="1"/>
        <v>45972</v>
      </c>
      <c r="J15" s="41"/>
      <c r="K15" s="7"/>
      <c r="L15" s="7"/>
      <c r="M15" s="7"/>
      <c r="N15" s="11"/>
      <c r="O15" s="6">
        <f t="shared" si="2"/>
        <v>45972</v>
      </c>
      <c r="P15" s="16">
        <f t="shared" si="2"/>
        <v>45972</v>
      </c>
      <c r="Q15" s="41"/>
      <c r="R15" s="7"/>
      <c r="S15" s="7"/>
      <c r="T15" s="7"/>
      <c r="V15" s="6">
        <f t="shared" si="3"/>
        <v>45972</v>
      </c>
      <c r="W15" s="16">
        <f t="shared" si="3"/>
        <v>45972</v>
      </c>
      <c r="X15" s="41"/>
      <c r="Y15" s="7"/>
      <c r="Z15" s="7"/>
      <c r="AA15" s="7"/>
      <c r="AC15" s="6">
        <f t="shared" si="4"/>
        <v>45972</v>
      </c>
      <c r="AD15" s="15">
        <f t="shared" si="4"/>
        <v>45972</v>
      </c>
      <c r="AE15" s="41"/>
      <c r="AF15" s="7"/>
      <c r="AG15" s="7"/>
      <c r="AH15" s="7"/>
    </row>
    <row r="16" spans="1:34" ht="16.5">
      <c r="A16" s="6">
        <f t="shared" si="0"/>
        <v>45973</v>
      </c>
      <c r="B16" s="16">
        <f t="shared" si="0"/>
        <v>45973</v>
      </c>
      <c r="C16" s="41"/>
      <c r="D16" s="7"/>
      <c r="E16" s="7"/>
      <c r="F16" s="7"/>
      <c r="G16" s="11"/>
      <c r="H16" s="6">
        <f t="shared" si="1"/>
        <v>45973</v>
      </c>
      <c r="I16" s="16">
        <f t="shared" si="1"/>
        <v>45973</v>
      </c>
      <c r="J16" s="41"/>
      <c r="K16" s="7"/>
      <c r="L16" s="7"/>
      <c r="M16" s="7"/>
      <c r="N16" s="11"/>
      <c r="O16" s="6">
        <f t="shared" si="2"/>
        <v>45973</v>
      </c>
      <c r="P16" s="16">
        <f t="shared" si="2"/>
        <v>45973</v>
      </c>
      <c r="Q16" s="41"/>
      <c r="R16" s="7"/>
      <c r="S16" s="7"/>
      <c r="T16" s="7"/>
      <c r="V16" s="6">
        <f t="shared" si="3"/>
        <v>45973</v>
      </c>
      <c r="W16" s="16">
        <f t="shared" si="3"/>
        <v>45973</v>
      </c>
      <c r="X16" s="41"/>
      <c r="Y16" s="7"/>
      <c r="Z16" s="7"/>
      <c r="AA16" s="7"/>
      <c r="AC16" s="6">
        <f t="shared" si="4"/>
        <v>45973</v>
      </c>
      <c r="AD16" s="15">
        <f t="shared" si="4"/>
        <v>45973</v>
      </c>
      <c r="AE16" s="41"/>
      <c r="AF16" s="7"/>
      <c r="AG16" s="7"/>
      <c r="AH16" s="7"/>
    </row>
    <row r="17" spans="1:34" ht="16.5">
      <c r="A17" s="6">
        <f t="shared" si="0"/>
        <v>45974</v>
      </c>
      <c r="B17" s="16">
        <f t="shared" si="0"/>
        <v>45974</v>
      </c>
      <c r="C17" s="41"/>
      <c r="D17" s="7"/>
      <c r="E17" s="7"/>
      <c r="F17" s="7"/>
      <c r="G17" s="11"/>
      <c r="H17" s="6">
        <f t="shared" si="1"/>
        <v>45974</v>
      </c>
      <c r="I17" s="16">
        <f t="shared" si="1"/>
        <v>45974</v>
      </c>
      <c r="J17" s="41"/>
      <c r="K17" s="7"/>
      <c r="L17" s="7"/>
      <c r="M17" s="7"/>
      <c r="N17" s="11"/>
      <c r="O17" s="6">
        <f t="shared" si="2"/>
        <v>45974</v>
      </c>
      <c r="P17" s="16">
        <f t="shared" si="2"/>
        <v>45974</v>
      </c>
      <c r="Q17" s="41"/>
      <c r="R17" s="7"/>
      <c r="S17" s="7"/>
      <c r="T17" s="7"/>
      <c r="V17" s="6">
        <f t="shared" si="3"/>
        <v>45974</v>
      </c>
      <c r="W17" s="16">
        <f t="shared" si="3"/>
        <v>45974</v>
      </c>
      <c r="X17" s="41"/>
      <c r="Y17" s="7"/>
      <c r="Z17" s="7"/>
      <c r="AA17" s="7"/>
      <c r="AC17" s="6">
        <f t="shared" si="4"/>
        <v>45974</v>
      </c>
      <c r="AD17" s="15">
        <f t="shared" si="4"/>
        <v>45974</v>
      </c>
      <c r="AE17" s="41"/>
      <c r="AF17" s="7"/>
      <c r="AG17" s="7"/>
      <c r="AH17" s="7"/>
    </row>
    <row r="18" spans="1:34" ht="16.5">
      <c r="A18" s="6">
        <f t="shared" si="0"/>
        <v>45975</v>
      </c>
      <c r="B18" s="16">
        <f t="shared" si="0"/>
        <v>45975</v>
      </c>
      <c r="C18" s="41"/>
      <c r="D18" s="7"/>
      <c r="E18" s="7"/>
      <c r="F18" s="7"/>
      <c r="G18" s="11"/>
      <c r="H18" s="6">
        <f t="shared" si="1"/>
        <v>45975</v>
      </c>
      <c r="I18" s="16">
        <f t="shared" si="1"/>
        <v>45975</v>
      </c>
      <c r="J18" s="41"/>
      <c r="K18" s="7"/>
      <c r="L18" s="7"/>
      <c r="M18" s="7"/>
      <c r="N18" s="11"/>
      <c r="O18" s="6">
        <f t="shared" si="2"/>
        <v>45975</v>
      </c>
      <c r="P18" s="16">
        <f t="shared" si="2"/>
        <v>45975</v>
      </c>
      <c r="Q18" s="41"/>
      <c r="R18" s="7"/>
      <c r="S18" s="7"/>
      <c r="T18" s="7"/>
      <c r="V18" s="6">
        <f t="shared" si="3"/>
        <v>45975</v>
      </c>
      <c r="W18" s="16">
        <f t="shared" si="3"/>
        <v>45975</v>
      </c>
      <c r="X18" s="41"/>
      <c r="Y18" s="7"/>
      <c r="Z18" s="7"/>
      <c r="AA18" s="7"/>
      <c r="AC18" s="6">
        <f t="shared" si="4"/>
        <v>45975</v>
      </c>
      <c r="AD18" s="15">
        <f t="shared" si="4"/>
        <v>45975</v>
      </c>
      <c r="AE18" s="41"/>
      <c r="AF18" s="7"/>
      <c r="AG18" s="7"/>
      <c r="AH18" s="7"/>
    </row>
    <row r="19" spans="1:34" ht="16.5">
      <c r="A19" s="6">
        <f t="shared" si="0"/>
        <v>45976</v>
      </c>
      <c r="B19" s="16">
        <f t="shared" si="0"/>
        <v>45976</v>
      </c>
      <c r="C19" s="41"/>
      <c r="D19" s="7"/>
      <c r="E19" s="7"/>
      <c r="F19" s="7"/>
      <c r="G19" s="11"/>
      <c r="H19" s="6">
        <f t="shared" si="1"/>
        <v>45976</v>
      </c>
      <c r="I19" s="16">
        <f t="shared" si="1"/>
        <v>45976</v>
      </c>
      <c r="J19" s="41"/>
      <c r="K19" s="7"/>
      <c r="L19" s="7"/>
      <c r="M19" s="7"/>
      <c r="N19" s="11"/>
      <c r="O19" s="6">
        <f t="shared" si="2"/>
        <v>45976</v>
      </c>
      <c r="P19" s="16">
        <f t="shared" si="2"/>
        <v>45976</v>
      </c>
      <c r="Q19" s="41"/>
      <c r="R19" s="7"/>
      <c r="S19" s="7"/>
      <c r="T19" s="7"/>
      <c r="V19" s="6">
        <f t="shared" si="3"/>
        <v>45976</v>
      </c>
      <c r="W19" s="16">
        <f t="shared" si="3"/>
        <v>45976</v>
      </c>
      <c r="X19" s="41"/>
      <c r="Y19" s="7"/>
      <c r="Z19" s="7"/>
      <c r="AA19" s="7"/>
      <c r="AC19" s="6">
        <f t="shared" si="4"/>
        <v>45976</v>
      </c>
      <c r="AD19" s="15">
        <f t="shared" si="4"/>
        <v>45976</v>
      </c>
      <c r="AE19" s="41"/>
      <c r="AF19" s="7"/>
      <c r="AG19" s="7"/>
      <c r="AH19" s="7"/>
    </row>
    <row r="20" spans="1:34" ht="16.5">
      <c r="A20" s="6">
        <f t="shared" si="0"/>
        <v>45977</v>
      </c>
      <c r="B20" s="16">
        <f t="shared" si="0"/>
        <v>45977</v>
      </c>
      <c r="C20" s="41"/>
      <c r="D20" s="7"/>
      <c r="E20" s="7"/>
      <c r="F20" s="7"/>
      <c r="G20" s="11"/>
      <c r="H20" s="6">
        <f t="shared" si="1"/>
        <v>45977</v>
      </c>
      <c r="I20" s="16">
        <f t="shared" si="1"/>
        <v>45977</v>
      </c>
      <c r="J20" s="41"/>
      <c r="K20" s="7"/>
      <c r="L20" s="7"/>
      <c r="M20" s="7"/>
      <c r="N20" s="11"/>
      <c r="O20" s="6">
        <f t="shared" si="2"/>
        <v>45977</v>
      </c>
      <c r="P20" s="16">
        <f t="shared" si="2"/>
        <v>45977</v>
      </c>
      <c r="Q20" s="41"/>
      <c r="R20" s="7"/>
      <c r="S20" s="7"/>
      <c r="T20" s="7"/>
      <c r="V20" s="6">
        <f t="shared" si="3"/>
        <v>45977</v>
      </c>
      <c r="W20" s="16">
        <f t="shared" si="3"/>
        <v>45977</v>
      </c>
      <c r="X20" s="41"/>
      <c r="Y20" s="7"/>
      <c r="Z20" s="7"/>
      <c r="AA20" s="7"/>
      <c r="AC20" s="6">
        <f t="shared" si="4"/>
        <v>45977</v>
      </c>
      <c r="AD20" s="15">
        <f t="shared" si="4"/>
        <v>45977</v>
      </c>
      <c r="AE20" s="41"/>
      <c r="AF20" s="7"/>
      <c r="AG20" s="7"/>
      <c r="AH20" s="7"/>
    </row>
    <row r="21" spans="1:34" ht="16.5">
      <c r="A21" s="6">
        <f t="shared" si="0"/>
        <v>45978</v>
      </c>
      <c r="B21" s="16">
        <f t="shared" si="0"/>
        <v>45978</v>
      </c>
      <c r="C21" s="41"/>
      <c r="D21" s="7"/>
      <c r="E21" s="7"/>
      <c r="F21" s="7"/>
      <c r="G21" s="11"/>
      <c r="H21" s="6">
        <f t="shared" si="1"/>
        <v>45978</v>
      </c>
      <c r="I21" s="16">
        <f t="shared" si="1"/>
        <v>45978</v>
      </c>
      <c r="J21" s="41"/>
      <c r="K21" s="7"/>
      <c r="L21" s="7"/>
      <c r="M21" s="7"/>
      <c r="N21" s="11"/>
      <c r="O21" s="6">
        <f t="shared" si="2"/>
        <v>45978</v>
      </c>
      <c r="P21" s="16">
        <f t="shared" si="2"/>
        <v>45978</v>
      </c>
      <c r="Q21" s="41"/>
      <c r="R21" s="7"/>
      <c r="S21" s="7"/>
      <c r="T21" s="7"/>
      <c r="V21" s="6">
        <f t="shared" si="3"/>
        <v>45978</v>
      </c>
      <c r="W21" s="16">
        <f t="shared" si="3"/>
        <v>45978</v>
      </c>
      <c r="X21" s="41"/>
      <c r="Y21" s="7"/>
      <c r="Z21" s="7"/>
      <c r="AA21" s="7"/>
      <c r="AC21" s="6">
        <f t="shared" si="4"/>
        <v>45978</v>
      </c>
      <c r="AD21" s="15">
        <f t="shared" si="4"/>
        <v>45978</v>
      </c>
      <c r="AE21" s="41"/>
      <c r="AF21" s="7"/>
      <c r="AG21" s="7"/>
      <c r="AH21" s="7"/>
    </row>
    <row r="22" spans="1:34" ht="16.5">
      <c r="A22" s="6">
        <f t="shared" si="0"/>
        <v>45979</v>
      </c>
      <c r="B22" s="16">
        <f t="shared" si="0"/>
        <v>45979</v>
      </c>
      <c r="C22" s="41"/>
      <c r="D22" s="7"/>
      <c r="E22" s="7"/>
      <c r="F22" s="7"/>
      <c r="G22" s="11"/>
      <c r="H22" s="6">
        <f t="shared" si="1"/>
        <v>45979</v>
      </c>
      <c r="I22" s="16">
        <f t="shared" si="1"/>
        <v>45979</v>
      </c>
      <c r="J22" s="41"/>
      <c r="K22" s="7"/>
      <c r="L22" s="7"/>
      <c r="M22" s="7"/>
      <c r="N22" s="11"/>
      <c r="O22" s="6">
        <f t="shared" si="2"/>
        <v>45979</v>
      </c>
      <c r="P22" s="16">
        <f t="shared" si="2"/>
        <v>45979</v>
      </c>
      <c r="Q22" s="41"/>
      <c r="R22" s="7"/>
      <c r="S22" s="7"/>
      <c r="T22" s="7"/>
      <c r="V22" s="6">
        <f t="shared" si="3"/>
        <v>45979</v>
      </c>
      <c r="W22" s="16">
        <f t="shared" si="3"/>
        <v>45979</v>
      </c>
      <c r="X22" s="41"/>
      <c r="Y22" s="7"/>
      <c r="Z22" s="7"/>
      <c r="AA22" s="7"/>
      <c r="AC22" s="6">
        <f t="shared" si="4"/>
        <v>45979</v>
      </c>
      <c r="AD22" s="15">
        <f t="shared" si="4"/>
        <v>45979</v>
      </c>
      <c r="AE22" s="41"/>
      <c r="AF22" s="7"/>
      <c r="AG22" s="7"/>
      <c r="AH22" s="7"/>
    </row>
    <row r="23" spans="1:34" ht="16.5">
      <c r="A23" s="6">
        <f t="shared" ref="A23:B35" si="5">A22+1</f>
        <v>45980</v>
      </c>
      <c r="B23" s="16">
        <f t="shared" si="5"/>
        <v>45980</v>
      </c>
      <c r="C23" s="41"/>
      <c r="D23" s="7"/>
      <c r="E23" s="7"/>
      <c r="F23" s="7"/>
      <c r="G23" s="11"/>
      <c r="H23" s="6">
        <f t="shared" ref="H23:I35" si="6">H22+1</f>
        <v>45980</v>
      </c>
      <c r="I23" s="16">
        <f t="shared" si="6"/>
        <v>45980</v>
      </c>
      <c r="J23" s="41"/>
      <c r="K23" s="7"/>
      <c r="L23" s="7"/>
      <c r="M23" s="7"/>
      <c r="N23" s="11"/>
      <c r="O23" s="6">
        <f t="shared" ref="O23:P35" si="7">O22+1</f>
        <v>45980</v>
      </c>
      <c r="P23" s="16">
        <f t="shared" si="7"/>
        <v>45980</v>
      </c>
      <c r="Q23" s="41"/>
      <c r="R23" s="7"/>
      <c r="S23" s="7"/>
      <c r="T23" s="7"/>
      <c r="V23" s="6">
        <f t="shared" ref="V23:W35" si="8">V22+1</f>
        <v>45980</v>
      </c>
      <c r="W23" s="16">
        <f t="shared" si="8"/>
        <v>45980</v>
      </c>
      <c r="X23" s="41"/>
      <c r="Y23" s="7"/>
      <c r="Z23" s="7"/>
      <c r="AA23" s="7"/>
      <c r="AC23" s="6">
        <f t="shared" ref="AC23:AD35" si="9">AC22+1</f>
        <v>45980</v>
      </c>
      <c r="AD23" s="15">
        <f t="shared" si="9"/>
        <v>45980</v>
      </c>
      <c r="AE23" s="41"/>
      <c r="AF23" s="7"/>
      <c r="AG23" s="7"/>
      <c r="AH23" s="7"/>
    </row>
    <row r="24" spans="1:34" ht="16.5">
      <c r="A24" s="6">
        <f t="shared" si="5"/>
        <v>45981</v>
      </c>
      <c r="B24" s="16">
        <f t="shared" si="5"/>
        <v>45981</v>
      </c>
      <c r="C24" s="41"/>
      <c r="D24" s="7"/>
      <c r="E24" s="7"/>
      <c r="F24" s="7"/>
      <c r="G24" s="11"/>
      <c r="H24" s="6">
        <f t="shared" si="6"/>
        <v>45981</v>
      </c>
      <c r="I24" s="16">
        <f t="shared" si="6"/>
        <v>45981</v>
      </c>
      <c r="J24" s="41"/>
      <c r="K24" s="7"/>
      <c r="L24" s="7"/>
      <c r="M24" s="7"/>
      <c r="N24" s="11"/>
      <c r="O24" s="6">
        <f t="shared" si="7"/>
        <v>45981</v>
      </c>
      <c r="P24" s="16">
        <f t="shared" si="7"/>
        <v>45981</v>
      </c>
      <c r="Q24" s="41"/>
      <c r="R24" s="7"/>
      <c r="S24" s="7"/>
      <c r="T24" s="7"/>
      <c r="V24" s="6">
        <f t="shared" si="8"/>
        <v>45981</v>
      </c>
      <c r="W24" s="16">
        <f t="shared" si="8"/>
        <v>45981</v>
      </c>
      <c r="X24" s="41"/>
      <c r="Y24" s="7"/>
      <c r="Z24" s="7"/>
      <c r="AA24" s="7"/>
      <c r="AC24" s="6">
        <f t="shared" si="9"/>
        <v>45981</v>
      </c>
      <c r="AD24" s="15">
        <f t="shared" si="9"/>
        <v>45981</v>
      </c>
      <c r="AE24" s="41"/>
      <c r="AF24" s="7"/>
      <c r="AG24" s="7"/>
      <c r="AH24" s="7"/>
    </row>
    <row r="25" spans="1:34" ht="16.5">
      <c r="A25" s="6">
        <f t="shared" si="5"/>
        <v>45982</v>
      </c>
      <c r="B25" s="16">
        <f t="shared" si="5"/>
        <v>45982</v>
      </c>
      <c r="C25" s="41"/>
      <c r="D25" s="7"/>
      <c r="E25" s="7"/>
      <c r="F25" s="7"/>
      <c r="G25" s="11"/>
      <c r="H25" s="6">
        <f t="shared" si="6"/>
        <v>45982</v>
      </c>
      <c r="I25" s="16">
        <f t="shared" si="6"/>
        <v>45982</v>
      </c>
      <c r="J25" s="41"/>
      <c r="K25" s="7"/>
      <c r="L25" s="7"/>
      <c r="M25" s="7"/>
      <c r="N25" s="11"/>
      <c r="O25" s="6">
        <f t="shared" si="7"/>
        <v>45982</v>
      </c>
      <c r="P25" s="16">
        <f t="shared" si="7"/>
        <v>45982</v>
      </c>
      <c r="Q25" s="41"/>
      <c r="R25" s="7"/>
      <c r="S25" s="7"/>
      <c r="T25" s="7"/>
      <c r="V25" s="6">
        <f t="shared" si="8"/>
        <v>45982</v>
      </c>
      <c r="W25" s="16">
        <f t="shared" si="8"/>
        <v>45982</v>
      </c>
      <c r="X25" s="41"/>
      <c r="Y25" s="7"/>
      <c r="Z25" s="7"/>
      <c r="AA25" s="7"/>
      <c r="AC25" s="6">
        <f t="shared" si="9"/>
        <v>45982</v>
      </c>
      <c r="AD25" s="15">
        <f t="shared" si="9"/>
        <v>45982</v>
      </c>
      <c r="AE25" s="41"/>
      <c r="AF25" s="7"/>
      <c r="AG25" s="7"/>
      <c r="AH25" s="7"/>
    </row>
    <row r="26" spans="1:34" ht="16.5">
      <c r="A26" s="6">
        <f t="shared" si="5"/>
        <v>45983</v>
      </c>
      <c r="B26" s="16">
        <f t="shared" si="5"/>
        <v>45983</v>
      </c>
      <c r="C26" s="41"/>
      <c r="D26" s="7"/>
      <c r="E26" s="7"/>
      <c r="F26" s="7"/>
      <c r="G26" s="11"/>
      <c r="H26" s="6">
        <f t="shared" si="6"/>
        <v>45983</v>
      </c>
      <c r="I26" s="16">
        <f t="shared" si="6"/>
        <v>45983</v>
      </c>
      <c r="J26" s="41"/>
      <c r="K26" s="7"/>
      <c r="L26" s="7"/>
      <c r="M26" s="7"/>
      <c r="N26" s="11"/>
      <c r="O26" s="6">
        <f t="shared" si="7"/>
        <v>45983</v>
      </c>
      <c r="P26" s="16">
        <f t="shared" si="7"/>
        <v>45983</v>
      </c>
      <c r="Q26" s="41"/>
      <c r="R26" s="7"/>
      <c r="S26" s="7"/>
      <c r="T26" s="7"/>
      <c r="V26" s="6">
        <f t="shared" si="8"/>
        <v>45983</v>
      </c>
      <c r="W26" s="16">
        <f t="shared" si="8"/>
        <v>45983</v>
      </c>
      <c r="X26" s="41"/>
      <c r="Y26" s="7"/>
      <c r="Z26" s="7"/>
      <c r="AA26" s="7"/>
      <c r="AC26" s="6">
        <f t="shared" si="9"/>
        <v>45983</v>
      </c>
      <c r="AD26" s="15">
        <f t="shared" si="9"/>
        <v>45983</v>
      </c>
      <c r="AE26" s="41"/>
      <c r="AF26" s="7"/>
      <c r="AG26" s="7"/>
      <c r="AH26" s="7"/>
    </row>
    <row r="27" spans="1:34" ht="16.5">
      <c r="A27" s="6">
        <f t="shared" si="5"/>
        <v>45984</v>
      </c>
      <c r="B27" s="16">
        <f t="shared" si="5"/>
        <v>45984</v>
      </c>
      <c r="C27" s="41"/>
      <c r="D27" s="7"/>
      <c r="E27" s="7"/>
      <c r="F27" s="7"/>
      <c r="G27" s="11"/>
      <c r="H27" s="6">
        <f t="shared" si="6"/>
        <v>45984</v>
      </c>
      <c r="I27" s="16">
        <f t="shared" si="6"/>
        <v>45984</v>
      </c>
      <c r="J27" s="41"/>
      <c r="K27" s="7"/>
      <c r="L27" s="7"/>
      <c r="M27" s="7"/>
      <c r="N27" s="11"/>
      <c r="O27" s="6">
        <f t="shared" si="7"/>
        <v>45984</v>
      </c>
      <c r="P27" s="16">
        <f t="shared" si="7"/>
        <v>45984</v>
      </c>
      <c r="Q27" s="41"/>
      <c r="R27" s="7"/>
      <c r="S27" s="7"/>
      <c r="T27" s="7"/>
      <c r="V27" s="6">
        <f t="shared" si="8"/>
        <v>45984</v>
      </c>
      <c r="W27" s="16">
        <f t="shared" si="8"/>
        <v>45984</v>
      </c>
      <c r="X27" s="41"/>
      <c r="Y27" s="7"/>
      <c r="Z27" s="7"/>
      <c r="AA27" s="7"/>
      <c r="AC27" s="6">
        <f t="shared" si="9"/>
        <v>45984</v>
      </c>
      <c r="AD27" s="15">
        <f t="shared" si="9"/>
        <v>45984</v>
      </c>
      <c r="AE27" s="41"/>
      <c r="AF27" s="7"/>
      <c r="AG27" s="7"/>
      <c r="AH27" s="7"/>
    </row>
    <row r="28" spans="1:34" ht="16.5">
      <c r="A28" s="6">
        <f t="shared" si="5"/>
        <v>45985</v>
      </c>
      <c r="B28" s="16">
        <f t="shared" si="5"/>
        <v>45985</v>
      </c>
      <c r="C28" s="41"/>
      <c r="D28" s="7"/>
      <c r="E28" s="7"/>
      <c r="F28" s="7"/>
      <c r="G28" s="11"/>
      <c r="H28" s="6">
        <f t="shared" si="6"/>
        <v>45985</v>
      </c>
      <c r="I28" s="16">
        <f t="shared" si="6"/>
        <v>45985</v>
      </c>
      <c r="J28" s="41"/>
      <c r="K28" s="7"/>
      <c r="L28" s="7"/>
      <c r="M28" s="7"/>
      <c r="N28" s="11"/>
      <c r="O28" s="6">
        <f t="shared" si="7"/>
        <v>45985</v>
      </c>
      <c r="P28" s="16">
        <f t="shared" si="7"/>
        <v>45985</v>
      </c>
      <c r="Q28" s="41"/>
      <c r="R28" s="7"/>
      <c r="S28" s="7"/>
      <c r="T28" s="7"/>
      <c r="V28" s="6">
        <f t="shared" si="8"/>
        <v>45985</v>
      </c>
      <c r="W28" s="16">
        <f t="shared" si="8"/>
        <v>45985</v>
      </c>
      <c r="X28" s="41"/>
      <c r="Y28" s="7"/>
      <c r="Z28" s="7"/>
      <c r="AA28" s="7"/>
      <c r="AC28" s="6">
        <f t="shared" si="9"/>
        <v>45985</v>
      </c>
      <c r="AD28" s="15">
        <f t="shared" si="9"/>
        <v>45985</v>
      </c>
      <c r="AE28" s="41"/>
      <c r="AF28" s="7"/>
      <c r="AG28" s="7"/>
      <c r="AH28" s="7"/>
    </row>
    <row r="29" spans="1:34" ht="16.5">
      <c r="A29" s="6">
        <f t="shared" si="5"/>
        <v>45986</v>
      </c>
      <c r="B29" s="16">
        <f t="shared" si="5"/>
        <v>45986</v>
      </c>
      <c r="C29" s="41"/>
      <c r="D29" s="7"/>
      <c r="E29" s="7"/>
      <c r="F29" s="7"/>
      <c r="G29" s="11"/>
      <c r="H29" s="6">
        <f t="shared" si="6"/>
        <v>45986</v>
      </c>
      <c r="I29" s="16">
        <f t="shared" si="6"/>
        <v>45986</v>
      </c>
      <c r="J29" s="41"/>
      <c r="K29" s="7"/>
      <c r="L29" s="7"/>
      <c r="M29" s="7"/>
      <c r="N29" s="11"/>
      <c r="O29" s="6">
        <f t="shared" si="7"/>
        <v>45986</v>
      </c>
      <c r="P29" s="16">
        <f t="shared" si="7"/>
        <v>45986</v>
      </c>
      <c r="Q29" s="41"/>
      <c r="R29" s="7"/>
      <c r="S29" s="7"/>
      <c r="T29" s="7"/>
      <c r="V29" s="6">
        <f t="shared" si="8"/>
        <v>45986</v>
      </c>
      <c r="W29" s="16">
        <f t="shared" si="8"/>
        <v>45986</v>
      </c>
      <c r="X29" s="41"/>
      <c r="Y29" s="7"/>
      <c r="Z29" s="7"/>
      <c r="AA29" s="7"/>
      <c r="AC29" s="6">
        <f t="shared" si="9"/>
        <v>45986</v>
      </c>
      <c r="AD29" s="15">
        <f t="shared" si="9"/>
        <v>45986</v>
      </c>
      <c r="AE29" s="41"/>
      <c r="AF29" s="7"/>
      <c r="AG29" s="7"/>
      <c r="AH29" s="7"/>
    </row>
    <row r="30" spans="1:34" ht="16.5">
      <c r="A30" s="6">
        <f t="shared" si="5"/>
        <v>45987</v>
      </c>
      <c r="B30" s="16">
        <f t="shared" si="5"/>
        <v>45987</v>
      </c>
      <c r="C30" s="41"/>
      <c r="D30" s="7"/>
      <c r="E30" s="7"/>
      <c r="F30" s="7"/>
      <c r="G30" s="11"/>
      <c r="H30" s="6">
        <f t="shared" si="6"/>
        <v>45987</v>
      </c>
      <c r="I30" s="16">
        <f t="shared" si="6"/>
        <v>45987</v>
      </c>
      <c r="J30" s="41"/>
      <c r="K30" s="7"/>
      <c r="L30" s="7"/>
      <c r="M30" s="7"/>
      <c r="N30" s="11"/>
      <c r="O30" s="6">
        <f t="shared" si="7"/>
        <v>45987</v>
      </c>
      <c r="P30" s="16">
        <f t="shared" si="7"/>
        <v>45987</v>
      </c>
      <c r="Q30" s="41"/>
      <c r="R30" s="7"/>
      <c r="S30" s="7"/>
      <c r="T30" s="7"/>
      <c r="V30" s="6">
        <f t="shared" si="8"/>
        <v>45987</v>
      </c>
      <c r="W30" s="16">
        <f t="shared" si="8"/>
        <v>45987</v>
      </c>
      <c r="X30" s="41"/>
      <c r="Y30" s="7"/>
      <c r="Z30" s="7"/>
      <c r="AA30" s="7"/>
      <c r="AC30" s="6">
        <f t="shared" si="9"/>
        <v>45987</v>
      </c>
      <c r="AD30" s="15">
        <f t="shared" si="9"/>
        <v>45987</v>
      </c>
      <c r="AE30" s="41"/>
      <c r="AF30" s="7"/>
      <c r="AG30" s="7"/>
      <c r="AH30" s="7"/>
    </row>
    <row r="31" spans="1:34" ht="16.5">
      <c r="A31" s="6">
        <f t="shared" si="5"/>
        <v>45988</v>
      </c>
      <c r="B31" s="16">
        <f t="shared" si="5"/>
        <v>45988</v>
      </c>
      <c r="C31" s="41"/>
      <c r="D31" s="7"/>
      <c r="E31" s="7"/>
      <c r="F31" s="7"/>
      <c r="G31" s="11"/>
      <c r="H31" s="6">
        <f t="shared" si="6"/>
        <v>45988</v>
      </c>
      <c r="I31" s="16">
        <f t="shared" si="6"/>
        <v>45988</v>
      </c>
      <c r="J31" s="41"/>
      <c r="K31" s="7"/>
      <c r="L31" s="7"/>
      <c r="M31" s="7"/>
      <c r="N31" s="11"/>
      <c r="O31" s="6">
        <f t="shared" si="7"/>
        <v>45988</v>
      </c>
      <c r="P31" s="16">
        <f t="shared" si="7"/>
        <v>45988</v>
      </c>
      <c r="Q31" s="41"/>
      <c r="R31" s="7"/>
      <c r="S31" s="7"/>
      <c r="T31" s="7"/>
      <c r="V31" s="6">
        <f t="shared" si="8"/>
        <v>45988</v>
      </c>
      <c r="W31" s="16">
        <f t="shared" si="8"/>
        <v>45988</v>
      </c>
      <c r="X31" s="41"/>
      <c r="Y31" s="7"/>
      <c r="Z31" s="7"/>
      <c r="AA31" s="7"/>
      <c r="AC31" s="6">
        <f t="shared" si="9"/>
        <v>45988</v>
      </c>
      <c r="AD31" s="15">
        <f t="shared" si="9"/>
        <v>45988</v>
      </c>
      <c r="AE31" s="41"/>
      <c r="AF31" s="7"/>
      <c r="AG31" s="7"/>
      <c r="AH31" s="7"/>
    </row>
    <row r="32" spans="1:34" ht="16.5">
      <c r="A32" s="6">
        <f t="shared" si="5"/>
        <v>45989</v>
      </c>
      <c r="B32" s="16">
        <f t="shared" si="5"/>
        <v>45989</v>
      </c>
      <c r="C32" s="41"/>
      <c r="D32" s="7"/>
      <c r="E32" s="7"/>
      <c r="F32" s="7"/>
      <c r="G32" s="11"/>
      <c r="H32" s="6">
        <f t="shared" si="6"/>
        <v>45989</v>
      </c>
      <c r="I32" s="16">
        <f t="shared" si="6"/>
        <v>45989</v>
      </c>
      <c r="J32" s="41"/>
      <c r="K32" s="7"/>
      <c r="L32" s="7"/>
      <c r="M32" s="7"/>
      <c r="N32" s="11"/>
      <c r="O32" s="6">
        <f t="shared" si="7"/>
        <v>45989</v>
      </c>
      <c r="P32" s="16">
        <f t="shared" si="7"/>
        <v>45989</v>
      </c>
      <c r="Q32" s="41"/>
      <c r="R32" s="7"/>
      <c r="S32" s="7"/>
      <c r="T32" s="7"/>
      <c r="V32" s="6">
        <f t="shared" si="8"/>
        <v>45989</v>
      </c>
      <c r="W32" s="16">
        <f t="shared" si="8"/>
        <v>45989</v>
      </c>
      <c r="X32" s="41"/>
      <c r="Y32" s="7"/>
      <c r="Z32" s="7"/>
      <c r="AA32" s="7"/>
      <c r="AC32" s="6">
        <f t="shared" si="9"/>
        <v>45989</v>
      </c>
      <c r="AD32" s="15">
        <f t="shared" si="9"/>
        <v>45989</v>
      </c>
      <c r="AE32" s="41"/>
      <c r="AF32" s="7"/>
      <c r="AG32" s="7"/>
      <c r="AH32" s="7"/>
    </row>
    <row r="33" spans="1:34" ht="16.5">
      <c r="A33" s="6">
        <f t="shared" si="5"/>
        <v>45990</v>
      </c>
      <c r="B33" s="16">
        <f t="shared" si="5"/>
        <v>45990</v>
      </c>
      <c r="C33" s="41"/>
      <c r="D33" s="7"/>
      <c r="E33" s="7"/>
      <c r="F33" s="7"/>
      <c r="G33" s="12"/>
      <c r="H33" s="6">
        <f t="shared" si="6"/>
        <v>45990</v>
      </c>
      <c r="I33" s="16">
        <f t="shared" si="6"/>
        <v>45990</v>
      </c>
      <c r="J33" s="41"/>
      <c r="K33" s="7"/>
      <c r="L33" s="7"/>
      <c r="M33" s="7"/>
      <c r="N33" s="12"/>
      <c r="O33" s="6">
        <f t="shared" si="7"/>
        <v>45990</v>
      </c>
      <c r="P33" s="16">
        <f t="shared" si="7"/>
        <v>45990</v>
      </c>
      <c r="Q33" s="41"/>
      <c r="R33" s="7"/>
      <c r="S33" s="7"/>
      <c r="T33" s="7"/>
      <c r="V33" s="6">
        <f t="shared" si="8"/>
        <v>45990</v>
      </c>
      <c r="W33" s="16">
        <f t="shared" si="8"/>
        <v>45990</v>
      </c>
      <c r="X33" s="41"/>
      <c r="Y33" s="7"/>
      <c r="Z33" s="7"/>
      <c r="AA33" s="7"/>
      <c r="AC33" s="6">
        <f t="shared" si="9"/>
        <v>45990</v>
      </c>
      <c r="AD33" s="15">
        <f t="shared" si="9"/>
        <v>45990</v>
      </c>
      <c r="AE33" s="41"/>
      <c r="AF33" s="7"/>
      <c r="AG33" s="7"/>
      <c r="AH33" s="7"/>
    </row>
    <row r="34" spans="1:34" ht="16.5">
      <c r="A34" s="6">
        <f t="shared" si="5"/>
        <v>45991</v>
      </c>
      <c r="B34" s="16">
        <f t="shared" si="5"/>
        <v>45991</v>
      </c>
      <c r="C34" s="41"/>
      <c r="D34" s="7"/>
      <c r="E34" s="7"/>
      <c r="F34" s="7"/>
      <c r="G34" s="12"/>
      <c r="H34" s="6">
        <f t="shared" si="6"/>
        <v>45991</v>
      </c>
      <c r="I34" s="16">
        <f t="shared" si="6"/>
        <v>45991</v>
      </c>
      <c r="J34" s="41"/>
      <c r="K34" s="7"/>
      <c r="L34" s="7"/>
      <c r="M34" s="7"/>
      <c r="N34" s="12"/>
      <c r="O34" s="6">
        <f t="shared" si="7"/>
        <v>45991</v>
      </c>
      <c r="P34" s="16">
        <f t="shared" si="7"/>
        <v>45991</v>
      </c>
      <c r="Q34" s="41"/>
      <c r="R34" s="7"/>
      <c r="S34" s="7"/>
      <c r="T34" s="7"/>
      <c r="V34" s="6">
        <f t="shared" si="8"/>
        <v>45991</v>
      </c>
      <c r="W34" s="16">
        <f t="shared" si="8"/>
        <v>45991</v>
      </c>
      <c r="X34" s="41"/>
      <c r="Y34" s="7"/>
      <c r="Z34" s="7"/>
      <c r="AA34" s="7"/>
      <c r="AC34" s="6">
        <f t="shared" si="9"/>
        <v>45991</v>
      </c>
      <c r="AD34" s="15">
        <f t="shared" si="9"/>
        <v>45991</v>
      </c>
      <c r="AE34" s="41"/>
      <c r="AF34" s="7"/>
      <c r="AG34" s="7"/>
      <c r="AH34" s="7"/>
    </row>
    <row r="35" spans="1:34" ht="16.5">
      <c r="A35" s="6">
        <f t="shared" si="5"/>
        <v>45992</v>
      </c>
      <c r="B35" s="16">
        <f t="shared" si="5"/>
        <v>45992</v>
      </c>
      <c r="C35" s="41"/>
      <c r="D35" s="7"/>
      <c r="E35" s="7"/>
      <c r="F35" s="7"/>
      <c r="G35" s="13"/>
      <c r="H35" s="6">
        <f t="shared" si="6"/>
        <v>45992</v>
      </c>
      <c r="I35" s="16">
        <f t="shared" si="6"/>
        <v>45992</v>
      </c>
      <c r="J35" s="41"/>
      <c r="K35" s="7"/>
      <c r="L35" s="7"/>
      <c r="M35" s="7"/>
      <c r="N35" s="13"/>
      <c r="O35" s="6">
        <f t="shared" si="7"/>
        <v>45992</v>
      </c>
      <c r="P35" s="16">
        <f t="shared" si="7"/>
        <v>45992</v>
      </c>
      <c r="Q35" s="41"/>
      <c r="R35" s="7"/>
      <c r="S35" s="7"/>
      <c r="T35" s="7"/>
      <c r="V35" s="6">
        <f t="shared" si="8"/>
        <v>45992</v>
      </c>
      <c r="W35" s="16">
        <f t="shared" si="8"/>
        <v>45992</v>
      </c>
      <c r="X35" s="41"/>
      <c r="Y35" s="7"/>
      <c r="Z35" s="7"/>
      <c r="AA35" s="7"/>
      <c r="AC35" s="6">
        <f t="shared" si="9"/>
        <v>45992</v>
      </c>
      <c r="AD35" s="15">
        <f t="shared" si="9"/>
        <v>45992</v>
      </c>
      <c r="AE35" s="41"/>
      <c r="AF35" s="7"/>
      <c r="AG35" s="7"/>
      <c r="AH35" s="7"/>
    </row>
    <row r="36" spans="1:34" ht="17.25" thickBot="1">
      <c r="A36" s="17"/>
      <c r="B36" s="18"/>
      <c r="C36" s="19"/>
      <c r="D36" s="20"/>
      <c r="E36" s="20"/>
      <c r="F36" s="21"/>
      <c r="G36" s="13"/>
      <c r="H36" s="17"/>
      <c r="I36" s="18"/>
      <c r="J36" s="19"/>
      <c r="K36" s="20"/>
      <c r="L36" s="20"/>
      <c r="M36" s="21"/>
      <c r="N36" s="13"/>
      <c r="O36" s="17"/>
      <c r="P36" s="18"/>
      <c r="Q36" s="19"/>
      <c r="R36" s="20"/>
      <c r="S36" s="20"/>
      <c r="T36" s="21"/>
      <c r="V36" s="17"/>
      <c r="W36" s="18"/>
      <c r="X36" s="19"/>
      <c r="Y36" s="20"/>
      <c r="Z36" s="20"/>
      <c r="AA36" s="21"/>
      <c r="AC36" s="17"/>
      <c r="AD36" s="22"/>
      <c r="AE36" s="19"/>
      <c r="AF36" s="20"/>
      <c r="AG36" s="20"/>
      <c r="AH36" s="21"/>
    </row>
    <row r="37" spans="1:34" ht="15.75" thickBot="1">
      <c r="A37" s="39" t="s">
        <v>24</v>
      </c>
      <c r="B37" s="40" t="s">
        <v>25</v>
      </c>
      <c r="C37" s="40" t="s">
        <v>27</v>
      </c>
      <c r="D37" s="40" t="s">
        <v>26</v>
      </c>
      <c r="E37" s="46"/>
      <c r="F37" s="47"/>
      <c r="H37" s="39" t="s">
        <v>24</v>
      </c>
      <c r="I37" s="40" t="s">
        <v>25</v>
      </c>
      <c r="J37" s="40" t="s">
        <v>27</v>
      </c>
      <c r="K37" s="40" t="s">
        <v>26</v>
      </c>
      <c r="L37" s="46"/>
      <c r="M37" s="47"/>
      <c r="O37" s="39" t="s">
        <v>24</v>
      </c>
      <c r="P37" s="40" t="s">
        <v>25</v>
      </c>
      <c r="Q37" s="40" t="s">
        <v>27</v>
      </c>
      <c r="R37" s="40" t="s">
        <v>26</v>
      </c>
      <c r="S37" s="46"/>
      <c r="T37" s="47"/>
      <c r="V37" s="39" t="s">
        <v>24</v>
      </c>
      <c r="W37" s="40" t="s">
        <v>25</v>
      </c>
      <c r="X37" s="40" t="s">
        <v>27</v>
      </c>
      <c r="Y37" s="40" t="s">
        <v>26</v>
      </c>
      <c r="Z37" s="46"/>
      <c r="AA37" s="47"/>
      <c r="AC37" s="39" t="s">
        <v>24</v>
      </c>
      <c r="AD37" s="40" t="s">
        <v>25</v>
      </c>
      <c r="AE37" s="40" t="s">
        <v>27</v>
      </c>
      <c r="AF37" s="40" t="s">
        <v>26</v>
      </c>
      <c r="AG37" s="46"/>
      <c r="AH37" s="47"/>
    </row>
    <row r="38" spans="1:34" ht="15.75" thickBot="1">
      <c r="A38" s="35" t="s">
        <v>21</v>
      </c>
      <c r="B38" s="35">
        <v>0.20833333333333334</v>
      </c>
      <c r="C38" s="36" cm="1">
        <f t="array" ref="C38">COUNT(SEARCH("05:00 - 14:00", C5:C35))</f>
        <v>0</v>
      </c>
      <c r="D38" s="44">
        <f>SUM(C38:C44)</f>
        <v>0</v>
      </c>
      <c r="E38" s="25"/>
      <c r="F38" s="25"/>
      <c r="H38" s="35" t="s">
        <v>21</v>
      </c>
      <c r="I38" s="35">
        <v>0.20833333333333334</v>
      </c>
      <c r="J38" s="36" cm="1">
        <f t="array" ref="J38">COUNT(SEARCH("05:00 - 14:00", J5:J35))</f>
        <v>0</v>
      </c>
      <c r="K38" s="44">
        <f>SUM(J38:J44)</f>
        <v>0</v>
      </c>
      <c r="L38" s="25"/>
      <c r="M38" s="25"/>
      <c r="O38" s="35" t="s">
        <v>21</v>
      </c>
      <c r="P38" s="35">
        <v>0.20833333333333334</v>
      </c>
      <c r="Q38" s="36" cm="1">
        <f t="array" ref="Q38">COUNT(SEARCH("05:00 - 14:00", Q5:Q35))</f>
        <v>0</v>
      </c>
      <c r="R38" s="44">
        <f>SUM(Q38:Q44)</f>
        <v>0</v>
      </c>
      <c r="S38" s="25"/>
      <c r="T38" s="25"/>
      <c r="V38" s="35" t="s">
        <v>21</v>
      </c>
      <c r="W38" s="35">
        <v>0.20833333333333334</v>
      </c>
      <c r="X38" s="36" cm="1">
        <f t="array" ref="X38">COUNT(SEARCH("05:00 - 14:00", X5:X35))</f>
        <v>0</v>
      </c>
      <c r="Y38" s="44">
        <f>SUM(X38:X44)</f>
        <v>0</v>
      </c>
      <c r="Z38" s="25"/>
      <c r="AA38" s="25"/>
      <c r="AC38" s="35" t="s">
        <v>21</v>
      </c>
      <c r="AD38" s="35">
        <v>0.20833333333333334</v>
      </c>
      <c r="AE38" s="36" cm="1">
        <f t="array" ref="AE38">COUNT(SEARCH("05:00 - 14:00", AE5:AE35))</f>
        <v>0</v>
      </c>
      <c r="AF38" s="44">
        <f>SUM(AE38:AE44)</f>
        <v>0</v>
      </c>
      <c r="AG38" s="25"/>
      <c r="AH38" s="25"/>
    </row>
    <row r="39" spans="1:34" ht="15.75" thickBot="1">
      <c r="A39" s="34" t="s">
        <v>20</v>
      </c>
      <c r="B39" s="34">
        <v>0.25</v>
      </c>
      <c r="C39" s="37" cm="1">
        <f t="array" ref="C39">COUNT(SEARCH("06:00 - 15:00", C5:C35))</f>
        <v>0</v>
      </c>
      <c r="D39" s="52"/>
      <c r="E39" s="23"/>
      <c r="F39" s="23"/>
      <c r="H39" s="34" t="s">
        <v>20</v>
      </c>
      <c r="I39" s="34">
        <v>0.25</v>
      </c>
      <c r="J39" s="37" cm="1">
        <f t="array" ref="J39">COUNT(SEARCH("06:00 - 15:00", J5:J35))</f>
        <v>0</v>
      </c>
      <c r="K39" s="52"/>
      <c r="L39" s="23"/>
      <c r="M39" s="23"/>
      <c r="O39" s="34" t="s">
        <v>20</v>
      </c>
      <c r="P39" s="34">
        <v>0.25</v>
      </c>
      <c r="Q39" s="37" cm="1">
        <f t="array" ref="Q39">COUNT(SEARCH("06:00 - 15:00", Q5:Q35))</f>
        <v>0</v>
      </c>
      <c r="R39" s="52"/>
      <c r="S39" s="23"/>
      <c r="T39" s="23"/>
      <c r="V39" s="34" t="s">
        <v>20</v>
      </c>
      <c r="W39" s="34">
        <v>0.25</v>
      </c>
      <c r="X39" s="37" cm="1">
        <f t="array" ref="X39">COUNT(SEARCH("06:00 - 15:00", X5:X35))</f>
        <v>0</v>
      </c>
      <c r="Y39" s="52"/>
      <c r="Z39" s="23"/>
      <c r="AA39" s="23"/>
      <c r="AC39" s="34" t="s">
        <v>20</v>
      </c>
      <c r="AD39" s="34">
        <v>0.25</v>
      </c>
      <c r="AE39" s="37" cm="1">
        <f t="array" ref="AE39">COUNT(SEARCH("06:00 - 15:00", AE5:AE35))</f>
        <v>0</v>
      </c>
      <c r="AF39" s="52"/>
      <c r="AG39" s="23"/>
      <c r="AH39" s="23"/>
    </row>
    <row r="40" spans="1:34" ht="15.75" thickBot="1">
      <c r="A40" s="56" t="s">
        <v>21</v>
      </c>
      <c r="B40" s="26">
        <v>0.29166666666666669</v>
      </c>
      <c r="C40" s="37" cm="1">
        <f t="array" ref="C40">COUNT(SEARCH("7:00 - 16:00", C5:C35))</f>
        <v>0</v>
      </c>
      <c r="D40" s="52"/>
      <c r="E40" s="23"/>
      <c r="F40" s="23"/>
      <c r="H40" s="56" t="s">
        <v>21</v>
      </c>
      <c r="I40" s="26">
        <v>0.29166666666666669</v>
      </c>
      <c r="J40" s="37" cm="1">
        <f t="array" ref="J40">COUNT(SEARCH("7:00 - 16:00", J5:J35))</f>
        <v>0</v>
      </c>
      <c r="K40" s="52"/>
      <c r="L40" s="23"/>
      <c r="M40" s="23"/>
      <c r="O40" s="56" t="s">
        <v>21</v>
      </c>
      <c r="P40" s="26">
        <v>0.29166666666666669</v>
      </c>
      <c r="Q40" s="37" cm="1">
        <f t="array" ref="Q40">COUNT(SEARCH("7:00 - 16:00", Q5:Q35))</f>
        <v>0</v>
      </c>
      <c r="R40" s="52"/>
      <c r="S40" s="23"/>
      <c r="T40" s="23"/>
      <c r="V40" s="56" t="s">
        <v>21</v>
      </c>
      <c r="W40" s="26">
        <v>0.29166666666666669</v>
      </c>
      <c r="X40" s="37" cm="1">
        <f t="array" ref="X40">COUNT(SEARCH("7:00 - 16:00", X5:X35))</f>
        <v>0</v>
      </c>
      <c r="Y40" s="52"/>
      <c r="Z40" s="23"/>
      <c r="AA40" s="23"/>
      <c r="AC40" s="56" t="s">
        <v>21</v>
      </c>
      <c r="AD40" s="26">
        <v>0.29166666666666669</v>
      </c>
      <c r="AE40" s="37" cm="1">
        <f t="array" ref="AE40">COUNT(SEARCH("7:00 - 16:00", AE5:AE35))</f>
        <v>0</v>
      </c>
      <c r="AF40" s="52"/>
      <c r="AG40" s="23"/>
      <c r="AH40" s="23"/>
    </row>
    <row r="41" spans="1:34" ht="15.75" thickBot="1">
      <c r="A41" s="57"/>
      <c r="B41" s="27">
        <v>0.33333333333333331</v>
      </c>
      <c r="C41" s="37" cm="1">
        <f t="array" ref="C41">COUNT(SEARCH("08:00 - 17:00", C5:C35))</f>
        <v>0</v>
      </c>
      <c r="D41" s="52"/>
      <c r="E41" s="23"/>
      <c r="F41" s="23"/>
      <c r="H41" s="57"/>
      <c r="I41" s="27">
        <v>0.33333333333333331</v>
      </c>
      <c r="J41" s="37" cm="1">
        <f t="array" ref="J41">COUNT(SEARCH("08:00 - 17:00", J5:J35))</f>
        <v>0</v>
      </c>
      <c r="K41" s="52"/>
      <c r="L41" s="23"/>
      <c r="M41" s="23"/>
      <c r="O41" s="57"/>
      <c r="P41" s="27">
        <v>0.33333333333333331</v>
      </c>
      <c r="Q41" s="37" cm="1">
        <f t="array" ref="Q41">COUNT(SEARCH("08:00 - 17:00", Q5:Q35))</f>
        <v>0</v>
      </c>
      <c r="R41" s="52"/>
      <c r="S41" s="23"/>
      <c r="T41" s="23"/>
      <c r="V41" s="57"/>
      <c r="W41" s="27">
        <v>0.33333333333333331</v>
      </c>
      <c r="X41" s="37" cm="1">
        <f t="array" ref="X41">COUNT(SEARCH("08:00 - 17:00", X5:X35))</f>
        <v>0</v>
      </c>
      <c r="Y41" s="52"/>
      <c r="Z41" s="23"/>
      <c r="AA41" s="23"/>
      <c r="AC41" s="57"/>
      <c r="AD41" s="27">
        <v>0.33333333333333331</v>
      </c>
      <c r="AE41" s="37" cm="1">
        <f t="array" ref="AE41">COUNT(SEARCH("08:00 - 17:00", AE5:AE35))</f>
        <v>0</v>
      </c>
      <c r="AF41" s="52"/>
      <c r="AG41" s="23"/>
      <c r="AH41" s="23"/>
    </row>
    <row r="42" spans="1:34" ht="15.75" thickBot="1">
      <c r="A42" s="57"/>
      <c r="B42" s="28">
        <v>0.375</v>
      </c>
      <c r="C42" s="37" cm="1">
        <f t="array" ref="C42">COUNT(SEARCH("09:00 - 18:00", C5:C35))</f>
        <v>0</v>
      </c>
      <c r="D42" s="52"/>
      <c r="E42" s="23"/>
      <c r="F42" s="23"/>
      <c r="H42" s="57"/>
      <c r="I42" s="28">
        <v>0.375</v>
      </c>
      <c r="J42" s="37" cm="1">
        <f t="array" ref="J42">COUNT(SEARCH("09:00 - 18:00", J5:J35))</f>
        <v>0</v>
      </c>
      <c r="K42" s="52"/>
      <c r="L42" s="23"/>
      <c r="M42" s="23"/>
      <c r="O42" s="57"/>
      <c r="P42" s="28">
        <v>0.375</v>
      </c>
      <c r="Q42" s="37" cm="1">
        <f t="array" ref="Q42">COUNT(SEARCH("09:00 - 18:00", Q5:Q35))</f>
        <v>0</v>
      </c>
      <c r="R42" s="52"/>
      <c r="S42" s="23"/>
      <c r="T42" s="23"/>
      <c r="V42" s="57"/>
      <c r="W42" s="28">
        <v>0.375</v>
      </c>
      <c r="X42" s="37" cm="1">
        <f t="array" ref="X42">COUNT(SEARCH("09:00 - 18:00", X5:X35))</f>
        <v>0</v>
      </c>
      <c r="Y42" s="52"/>
      <c r="Z42" s="23"/>
      <c r="AA42" s="23"/>
      <c r="AC42" s="57"/>
      <c r="AD42" s="28">
        <v>0.375</v>
      </c>
      <c r="AE42" s="37" cm="1">
        <f t="array" ref="AE42">COUNT(SEARCH("09:00 - 18:00", AE5:AE35))</f>
        <v>0</v>
      </c>
      <c r="AF42" s="52"/>
      <c r="AG42" s="23"/>
      <c r="AH42" s="23"/>
    </row>
    <row r="43" spans="1:34" ht="15.75" thickBot="1">
      <c r="A43" s="57"/>
      <c r="B43" s="29">
        <v>0.41666666666666669</v>
      </c>
      <c r="C43" s="37" cm="1">
        <f t="array" ref="C43">COUNT(SEARCH("10:00 - 19:00", C5:C35))</f>
        <v>0</v>
      </c>
      <c r="D43" s="52"/>
      <c r="E43" s="23"/>
      <c r="F43" s="23"/>
      <c r="H43" s="57"/>
      <c r="I43" s="29">
        <v>0.41666666666666669</v>
      </c>
      <c r="J43" s="37" cm="1">
        <f t="array" ref="J43">COUNT(SEARCH("10:00 - 19:00", J5:J35))</f>
        <v>0</v>
      </c>
      <c r="K43" s="52"/>
      <c r="L43" s="23"/>
      <c r="M43" s="23"/>
      <c r="O43" s="57"/>
      <c r="P43" s="29">
        <v>0.41666666666666669</v>
      </c>
      <c r="Q43" s="37" cm="1">
        <f t="array" ref="Q43">COUNT(SEARCH("10:00 - 19:00", Q5:Q35))</f>
        <v>0</v>
      </c>
      <c r="R43" s="52"/>
      <c r="S43" s="23"/>
      <c r="T43" s="23"/>
      <c r="V43" s="57"/>
      <c r="W43" s="29">
        <v>0.41666666666666669</v>
      </c>
      <c r="X43" s="37" cm="1">
        <f t="array" ref="X43">COUNT(SEARCH("10:00 - 19:00", X5:X35))</f>
        <v>0</v>
      </c>
      <c r="Y43" s="52"/>
      <c r="Z43" s="23"/>
      <c r="AA43" s="23"/>
      <c r="AC43" s="57"/>
      <c r="AD43" s="29">
        <v>0.41666666666666669</v>
      </c>
      <c r="AE43" s="37" cm="1">
        <f t="array" ref="AE43">COUNT(SEARCH("10:00 - 19:00", AE5:AE35))</f>
        <v>0</v>
      </c>
      <c r="AF43" s="52"/>
      <c r="AG43" s="23"/>
      <c r="AH43" s="23"/>
    </row>
    <row r="44" spans="1:34" ht="15.75" thickBot="1">
      <c r="A44" s="58"/>
      <c r="B44" s="30">
        <v>0.45833333333333331</v>
      </c>
      <c r="C44" s="38" cm="1">
        <f t="array" ref="C44">COUNT(SEARCH("11:00 - 20:00", C5:C35))</f>
        <v>0</v>
      </c>
      <c r="D44" s="45"/>
      <c r="E44" s="23"/>
      <c r="F44" s="23"/>
      <c r="H44" s="58"/>
      <c r="I44" s="30">
        <v>0.45833333333333331</v>
      </c>
      <c r="J44" s="38" cm="1">
        <f t="array" ref="J44">COUNT(SEARCH("11:00 - 20:00", J5:J35))</f>
        <v>0</v>
      </c>
      <c r="K44" s="45"/>
      <c r="L44" s="23"/>
      <c r="M44" s="23"/>
      <c r="O44" s="58"/>
      <c r="P44" s="30">
        <v>0.45833333333333331</v>
      </c>
      <c r="Q44" s="38" cm="1">
        <f t="array" ref="Q44">COUNT(SEARCH("11:00 - 20:00", Q5:Q35))</f>
        <v>0</v>
      </c>
      <c r="R44" s="45"/>
      <c r="S44" s="23"/>
      <c r="T44" s="23"/>
      <c r="V44" s="58"/>
      <c r="W44" s="30">
        <v>0.45833333333333331</v>
      </c>
      <c r="X44" s="38" cm="1">
        <f t="array" ref="X44">COUNT(SEARCH("11:00 - 20:00", X5:X35))</f>
        <v>0</v>
      </c>
      <c r="Y44" s="45"/>
      <c r="Z44" s="23"/>
      <c r="AA44" s="23"/>
      <c r="AC44" s="58"/>
      <c r="AD44" s="30">
        <v>0.45833333333333331</v>
      </c>
      <c r="AE44" s="38" cm="1">
        <f t="array" ref="AE44">COUNT(SEARCH("11:00 - 20:00", AE5:AE35))</f>
        <v>0</v>
      </c>
      <c r="AF44" s="45"/>
      <c r="AG44" s="23"/>
      <c r="AH44" s="23"/>
    </row>
    <row r="45" spans="1:34" ht="15.75" thickBot="1">
      <c r="A45" s="50" t="s">
        <v>22</v>
      </c>
      <c r="B45" s="31">
        <v>0.5</v>
      </c>
      <c r="C45" s="36" cm="1">
        <f t="array" ref="C45">COUNT(SEARCH("12:00 - 21:00", C5:C35))</f>
        <v>0</v>
      </c>
      <c r="D45" s="44">
        <f>SUM(C45:C49)</f>
        <v>0</v>
      </c>
      <c r="E45" s="23"/>
      <c r="F45" s="23"/>
      <c r="H45" s="50" t="s">
        <v>22</v>
      </c>
      <c r="I45" s="31">
        <v>0.5</v>
      </c>
      <c r="J45" s="36" cm="1">
        <f t="array" ref="J45">COUNT(SEARCH("12:00 - 21:00", J5:J35))</f>
        <v>0</v>
      </c>
      <c r="K45" s="44">
        <f>SUM(J45:J49)</f>
        <v>0</v>
      </c>
      <c r="L45" s="23"/>
      <c r="M45" s="23"/>
      <c r="O45" s="50" t="s">
        <v>22</v>
      </c>
      <c r="P45" s="31">
        <v>0.5</v>
      </c>
      <c r="Q45" s="36" cm="1">
        <f t="array" ref="Q45">COUNT(SEARCH("12:00 - 21:00", Q5:Q35))</f>
        <v>0</v>
      </c>
      <c r="R45" s="44">
        <f>SUM(Q45:Q49)</f>
        <v>0</v>
      </c>
      <c r="S45" s="23"/>
      <c r="T45" s="23"/>
      <c r="V45" s="50" t="s">
        <v>22</v>
      </c>
      <c r="W45" s="31">
        <v>0.5</v>
      </c>
      <c r="X45" s="36" cm="1">
        <f t="array" ref="X45">COUNT(SEARCH("12:00 - 21:00", X5:X35))</f>
        <v>0</v>
      </c>
      <c r="Y45" s="44">
        <f>SUM(X45:X49)</f>
        <v>0</v>
      </c>
      <c r="Z45" s="23"/>
      <c r="AA45" s="23"/>
      <c r="AC45" s="50" t="s">
        <v>22</v>
      </c>
      <c r="AD45" s="31">
        <v>0.5</v>
      </c>
      <c r="AE45" s="36" cm="1">
        <f t="array" ref="AE45">COUNT(SEARCH("12:00 - 21:00", AE5:AE35))</f>
        <v>0</v>
      </c>
      <c r="AF45" s="44">
        <f>SUM(AE45:AE49)</f>
        <v>0</v>
      </c>
      <c r="AG45" s="23"/>
      <c r="AH45" s="23"/>
    </row>
    <row r="46" spans="1:34" ht="15.75" thickBot="1">
      <c r="A46" s="51"/>
      <c r="B46" s="32">
        <v>0.54166666666666663</v>
      </c>
      <c r="C46" s="37" cm="1">
        <f t="array" ref="C46">COUNT(SEARCH("13:00 - 22:00", C4:C34))</f>
        <v>0</v>
      </c>
      <c r="D46" s="52"/>
      <c r="E46" s="23"/>
      <c r="F46" s="23"/>
      <c r="H46" s="51"/>
      <c r="I46" s="32">
        <v>0.54166666666666663</v>
      </c>
      <c r="J46" s="37" cm="1">
        <f t="array" ref="J46">COUNT(SEARCH("13:00 - 22:00", J4:J34))</f>
        <v>0</v>
      </c>
      <c r="K46" s="52"/>
      <c r="L46" s="23"/>
      <c r="M46" s="23"/>
      <c r="O46" s="51"/>
      <c r="P46" s="32">
        <v>0.54166666666666663</v>
      </c>
      <c r="Q46" s="37" cm="1">
        <f t="array" ref="Q46">COUNT(SEARCH("13:00 - 22:00", Q4:Q34))</f>
        <v>0</v>
      </c>
      <c r="R46" s="52"/>
      <c r="S46" s="23"/>
      <c r="T46" s="23"/>
      <c r="V46" s="51"/>
      <c r="W46" s="32">
        <v>0.54166666666666663</v>
      </c>
      <c r="X46" s="37" cm="1">
        <f t="array" ref="X46">COUNT(SEARCH("13:00 - 22:00", X4:X34))</f>
        <v>0</v>
      </c>
      <c r="Y46" s="52"/>
      <c r="Z46" s="23"/>
      <c r="AA46" s="23"/>
      <c r="AC46" s="51"/>
      <c r="AD46" s="32">
        <v>0.54166666666666663</v>
      </c>
      <c r="AE46" s="37" cm="1">
        <f t="array" ref="AE46">COUNT(SEARCH("13:00 - 22:00", AE4:AE34))</f>
        <v>0</v>
      </c>
      <c r="AF46" s="52"/>
      <c r="AG46" s="23"/>
      <c r="AH46" s="23"/>
    </row>
    <row r="47" spans="1:34" ht="15.75" thickBot="1">
      <c r="A47" s="53" t="s">
        <v>21</v>
      </c>
      <c r="B47" s="33">
        <v>0.58333333333333337</v>
      </c>
      <c r="C47" s="37" cm="1">
        <f t="array" ref="C47">COUNT(SEARCH("14:00 - 23:00", C5:C35))</f>
        <v>0</v>
      </c>
      <c r="D47" s="52"/>
      <c r="E47" s="23"/>
      <c r="F47" s="23"/>
      <c r="H47" s="53" t="s">
        <v>21</v>
      </c>
      <c r="I47" s="33">
        <v>0.58333333333333337</v>
      </c>
      <c r="J47" s="37" cm="1">
        <f t="array" ref="J47">COUNT(SEARCH("14:00 - 23:00", J5:J35))</f>
        <v>0</v>
      </c>
      <c r="K47" s="52"/>
      <c r="L47" s="23"/>
      <c r="M47" s="23"/>
      <c r="O47" s="53" t="s">
        <v>21</v>
      </c>
      <c r="P47" s="33">
        <v>0.58333333333333337</v>
      </c>
      <c r="Q47" s="37" cm="1">
        <f t="array" ref="Q47">COUNT(SEARCH("14:00 - 23:00", Q5:Q35))</f>
        <v>0</v>
      </c>
      <c r="R47" s="52"/>
      <c r="S47" s="23"/>
      <c r="T47" s="23"/>
      <c r="V47" s="53" t="s">
        <v>21</v>
      </c>
      <c r="W47" s="33">
        <v>0.58333333333333337</v>
      </c>
      <c r="X47" s="37" cm="1">
        <f t="array" ref="X47">COUNT(SEARCH("14:00 - 23:00", X5:X35))</f>
        <v>0</v>
      </c>
      <c r="Y47" s="52"/>
      <c r="Z47" s="23"/>
      <c r="AA47" s="23"/>
      <c r="AC47" s="53" t="s">
        <v>21</v>
      </c>
      <c r="AD47" s="33">
        <v>0.58333333333333337</v>
      </c>
      <c r="AE47" s="37" cm="1">
        <f t="array" ref="AE47">COUNT(SEARCH("14:00 - 23:00", AE5:AE35))</f>
        <v>0</v>
      </c>
      <c r="AF47" s="52"/>
      <c r="AG47" s="23"/>
      <c r="AH47" s="23"/>
    </row>
    <row r="48" spans="1:34" ht="15.75" thickBot="1">
      <c r="A48" s="54"/>
      <c r="B48" s="33">
        <v>0.625</v>
      </c>
      <c r="C48" s="37" cm="1">
        <f t="array" ref="C48">COUNT(SEARCH("15:00 - 00:00", C5:C35))</f>
        <v>0</v>
      </c>
      <c r="D48" s="52"/>
      <c r="E48" s="23"/>
      <c r="F48" s="23"/>
      <c r="H48" s="54"/>
      <c r="I48" s="33">
        <v>0.625</v>
      </c>
      <c r="J48" s="37" cm="1">
        <f t="array" ref="J48">COUNT(SEARCH("15:00 - 00:00", J5:J35))</f>
        <v>0</v>
      </c>
      <c r="K48" s="52"/>
      <c r="L48" s="23"/>
      <c r="M48" s="23"/>
      <c r="O48" s="54"/>
      <c r="P48" s="33">
        <v>0.625</v>
      </c>
      <c r="Q48" s="37" cm="1">
        <f t="array" ref="Q48">COUNT(SEARCH("15:00 - 00:00", Q5:Q35))</f>
        <v>0</v>
      </c>
      <c r="R48" s="52"/>
      <c r="S48" s="23"/>
      <c r="T48" s="23"/>
      <c r="V48" s="54"/>
      <c r="W48" s="33">
        <v>0.625</v>
      </c>
      <c r="X48" s="37" cm="1">
        <f t="array" ref="X48">COUNT(SEARCH("15:00 - 00:00", X5:X35))</f>
        <v>0</v>
      </c>
      <c r="Y48" s="52"/>
      <c r="Z48" s="23"/>
      <c r="AA48" s="23"/>
      <c r="AC48" s="54"/>
      <c r="AD48" s="33">
        <v>0.625</v>
      </c>
      <c r="AE48" s="37" cm="1">
        <f t="array" ref="AE48">COUNT(SEARCH("15:00 - 00:00", AE5:AE35))</f>
        <v>0</v>
      </c>
      <c r="AF48" s="52"/>
      <c r="AG48" s="23"/>
      <c r="AH48" s="23"/>
    </row>
    <row r="49" spans="1:34" ht="15.75" thickBot="1">
      <c r="A49" s="55"/>
      <c r="B49" s="34">
        <v>0.66666666666666663</v>
      </c>
      <c r="C49" s="38" cm="1">
        <f t="array" ref="C49">COUNT(SEARCH("16:00 - 01:00", C5:C35))</f>
        <v>0</v>
      </c>
      <c r="D49" s="45"/>
      <c r="E49" s="23"/>
      <c r="F49" s="23"/>
      <c r="H49" s="55"/>
      <c r="I49" s="34">
        <v>0.66666666666666663</v>
      </c>
      <c r="J49" s="38" cm="1">
        <f t="array" ref="J49">COUNT(SEARCH("16:00 - 01:00", J5:J35))</f>
        <v>0</v>
      </c>
      <c r="K49" s="45"/>
      <c r="L49" s="23"/>
      <c r="M49" s="23"/>
      <c r="O49" s="55"/>
      <c r="P49" s="34">
        <v>0.66666666666666663</v>
      </c>
      <c r="Q49" s="38" cm="1">
        <f t="array" ref="Q49">COUNT(SEARCH("16:00 - 01:00", Q5:Q35))</f>
        <v>0</v>
      </c>
      <c r="R49" s="45"/>
      <c r="S49" s="23"/>
      <c r="T49" s="23"/>
      <c r="V49" s="55"/>
      <c r="W49" s="34">
        <v>0.66666666666666663</v>
      </c>
      <c r="X49" s="38" cm="1">
        <f t="array" ref="X49">COUNT(SEARCH("16:00 - 01:00", X5:X35))</f>
        <v>0</v>
      </c>
      <c r="Y49" s="45"/>
      <c r="Z49" s="23"/>
      <c r="AA49" s="23"/>
      <c r="AC49" s="55"/>
      <c r="AD49" s="34">
        <v>0.66666666666666663</v>
      </c>
      <c r="AE49" s="38" cm="1">
        <f t="array" ref="AE49">COUNT(SEARCH("16:00 - 01:00", AE5:AE35))</f>
        <v>0</v>
      </c>
      <c r="AF49" s="45"/>
      <c r="AG49" s="23"/>
      <c r="AH49" s="23"/>
    </row>
    <row r="50" spans="1:34" ht="15.75" thickBot="1">
      <c r="A50" s="35" t="s">
        <v>23</v>
      </c>
      <c r="B50" s="35">
        <v>0.875</v>
      </c>
      <c r="C50" s="37" cm="1">
        <f t="array" ref="C50">COUNT(SEARCH("21:00 - 06:00", C5:C35))</f>
        <v>0</v>
      </c>
      <c r="D50" s="44">
        <f>SUM(C50,C51)</f>
        <v>0</v>
      </c>
      <c r="E50" s="23"/>
      <c r="F50" s="23"/>
      <c r="H50" s="35" t="s">
        <v>23</v>
      </c>
      <c r="I50" s="35">
        <v>0.875</v>
      </c>
      <c r="J50" s="37" cm="1">
        <f t="array" ref="J50">COUNT(SEARCH("21:00 - 06:00", J5:J35))</f>
        <v>0</v>
      </c>
      <c r="K50" s="44">
        <f>SUM(J50,J51)</f>
        <v>0</v>
      </c>
      <c r="L50" s="23"/>
      <c r="M50" s="23"/>
      <c r="O50" s="35" t="s">
        <v>23</v>
      </c>
      <c r="P50" s="35">
        <v>0.875</v>
      </c>
      <c r="Q50" s="37" cm="1">
        <f t="array" ref="Q50">COUNT(SEARCH("21:00 - 06:00", Q5:Q35))</f>
        <v>0</v>
      </c>
      <c r="R50" s="44">
        <f>SUM(Q50,Q51)</f>
        <v>0</v>
      </c>
      <c r="S50" s="23"/>
      <c r="T50" s="23"/>
      <c r="V50" s="35" t="s">
        <v>23</v>
      </c>
      <c r="W50" s="35">
        <v>0.875</v>
      </c>
      <c r="X50" s="37" cm="1">
        <f t="array" ref="X50">COUNT(SEARCH("21:00 - 06:00", X5:X35))</f>
        <v>0</v>
      </c>
      <c r="Y50" s="44">
        <f>SUM(X50,X51)</f>
        <v>0</v>
      </c>
      <c r="Z50" s="23"/>
      <c r="AA50" s="23"/>
      <c r="AC50" s="35" t="s">
        <v>23</v>
      </c>
      <c r="AD50" s="35">
        <v>0.875</v>
      </c>
      <c r="AE50" s="37" cm="1">
        <f t="array" ref="AE50">COUNT(SEARCH("21:00 - 06:00", AE5:AE35))</f>
        <v>0</v>
      </c>
      <c r="AF50" s="44">
        <f>SUM(AE50,AE51)</f>
        <v>0</v>
      </c>
      <c r="AG50" s="23"/>
      <c r="AH50" s="23"/>
    </row>
    <row r="51" spans="1:34" ht="15.75" thickBot="1">
      <c r="A51" s="35" t="s">
        <v>21</v>
      </c>
      <c r="B51" s="35">
        <v>0.91666666666666663</v>
      </c>
      <c r="C51" s="38" cm="1">
        <f t="array" ref="C51">COUNT(SEARCH("22:00 - 07:00", C5:C35))</f>
        <v>0</v>
      </c>
      <c r="D51" s="45"/>
      <c r="E51" s="24"/>
      <c r="F51" s="24"/>
      <c r="H51" s="35" t="s">
        <v>21</v>
      </c>
      <c r="I51" s="35">
        <v>0.91666666666666663</v>
      </c>
      <c r="J51" s="38" cm="1">
        <f t="array" ref="J51">COUNT(SEARCH("22:00 - 07:00", J5:J35))</f>
        <v>0</v>
      </c>
      <c r="K51" s="45"/>
      <c r="L51" s="24"/>
      <c r="M51" s="24"/>
      <c r="O51" s="35" t="s">
        <v>21</v>
      </c>
      <c r="P51" s="35">
        <v>0.91666666666666663</v>
      </c>
      <c r="Q51" s="38" cm="1">
        <f t="array" ref="Q51">COUNT(SEARCH("22:00 - 07:00", Q5:Q35))</f>
        <v>0</v>
      </c>
      <c r="R51" s="45"/>
      <c r="S51" s="24"/>
      <c r="T51" s="24"/>
      <c r="V51" s="35" t="s">
        <v>21</v>
      </c>
      <c r="W51" s="35">
        <v>0.91666666666666663</v>
      </c>
      <c r="X51" s="38" cm="1">
        <f t="array" ref="X51">COUNT(SEARCH("22:00 - 07:00", X5:X35))</f>
        <v>0</v>
      </c>
      <c r="Y51" s="45"/>
      <c r="Z51" s="24"/>
      <c r="AA51" s="24"/>
      <c r="AC51" s="35" t="s">
        <v>21</v>
      </c>
      <c r="AD51" s="35">
        <v>0.91666666666666663</v>
      </c>
      <c r="AE51" s="38" cm="1">
        <f t="array" ref="AE51">COUNT(SEARCH("22:00 - 07:00", AE5:AE35))</f>
        <v>0</v>
      </c>
      <c r="AF51" s="45"/>
      <c r="AG51" s="24"/>
      <c r="AH51" s="24"/>
    </row>
    <row r="52" spans="1:34" ht="15.75" thickBot="1">
      <c r="A52" s="46" t="s">
        <v>26</v>
      </c>
      <c r="B52" s="47"/>
      <c r="C52" s="48">
        <f>SUM(C38:C51)</f>
        <v>0</v>
      </c>
      <c r="D52" s="49"/>
      <c r="H52" s="46" t="s">
        <v>26</v>
      </c>
      <c r="I52" s="47"/>
      <c r="J52" s="48">
        <f>SUM(J38:J51)</f>
        <v>0</v>
      </c>
      <c r="K52" s="49"/>
      <c r="O52" s="46" t="s">
        <v>26</v>
      </c>
      <c r="P52" s="47"/>
      <c r="Q52" s="48">
        <f>SUM(Q38:Q51)</f>
        <v>0</v>
      </c>
      <c r="R52" s="49"/>
      <c r="V52" s="46" t="s">
        <v>26</v>
      </c>
      <c r="W52" s="47"/>
      <c r="X52" s="48">
        <f>SUM(X38:X51)</f>
        <v>0</v>
      </c>
      <c r="Y52" s="49"/>
      <c r="AC52" s="46" t="s">
        <v>26</v>
      </c>
      <c r="AD52" s="47"/>
      <c r="AE52" s="48">
        <f>SUM(AE38:AE51)</f>
        <v>0</v>
      </c>
      <c r="AF52" s="49"/>
    </row>
  </sheetData>
  <mergeCells count="60">
    <mergeCell ref="B3:C3"/>
    <mergeCell ref="I3:J3"/>
    <mergeCell ref="P3:Q3"/>
    <mergeCell ref="W3:X3"/>
    <mergeCell ref="AD2:AE2"/>
    <mergeCell ref="B1:C1"/>
    <mergeCell ref="I1:J1"/>
    <mergeCell ref="P1:Q1"/>
    <mergeCell ref="W1:X1"/>
    <mergeCell ref="AD1:AE1"/>
    <mergeCell ref="B2:C2"/>
    <mergeCell ref="I2:J2"/>
    <mergeCell ref="P2:Q2"/>
    <mergeCell ref="W2:X2"/>
    <mergeCell ref="AD3:AE3"/>
    <mergeCell ref="AG37:AH37"/>
    <mergeCell ref="D38:D44"/>
    <mergeCell ref="K38:K44"/>
    <mergeCell ref="R38:R44"/>
    <mergeCell ref="Y38:Y44"/>
    <mergeCell ref="AF38:AF44"/>
    <mergeCell ref="E37:F37"/>
    <mergeCell ref="L37:M37"/>
    <mergeCell ref="S37:T37"/>
    <mergeCell ref="Z37:AA37"/>
    <mergeCell ref="A40:A44"/>
    <mergeCell ref="H40:H44"/>
    <mergeCell ref="O40:O44"/>
    <mergeCell ref="V40:V44"/>
    <mergeCell ref="AC40:AC44"/>
    <mergeCell ref="AC45:AC46"/>
    <mergeCell ref="AF45:AF49"/>
    <mergeCell ref="A47:A49"/>
    <mergeCell ref="H47:H49"/>
    <mergeCell ref="O47:O49"/>
    <mergeCell ref="V47:V49"/>
    <mergeCell ref="AC47:AC49"/>
    <mergeCell ref="A45:A46"/>
    <mergeCell ref="D45:D49"/>
    <mergeCell ref="H45:H46"/>
    <mergeCell ref="K45:K49"/>
    <mergeCell ref="O45:O46"/>
    <mergeCell ref="R45:R49"/>
    <mergeCell ref="V45:V46"/>
    <mergeCell ref="Y45:Y49"/>
    <mergeCell ref="AF50:AF51"/>
    <mergeCell ref="A52:B52"/>
    <mergeCell ref="C52:D52"/>
    <mergeCell ref="H52:I52"/>
    <mergeCell ref="J52:K52"/>
    <mergeCell ref="O52:P52"/>
    <mergeCell ref="Q52:R52"/>
    <mergeCell ref="V52:W52"/>
    <mergeCell ref="X52:Y52"/>
    <mergeCell ref="AC52:AD52"/>
    <mergeCell ref="AE52:AF52"/>
    <mergeCell ref="D50:D51"/>
    <mergeCell ref="K50:K51"/>
    <mergeCell ref="R50:R51"/>
    <mergeCell ref="Y50:Y5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D19F1FF-4D8B-4007-B67D-AD02ABE85EB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May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aloha</dc:creator>
  <cp:lastModifiedBy>Burgerking GrandDiamond</cp:lastModifiedBy>
  <dcterms:created xsi:type="dcterms:W3CDTF">2024-12-22T11:07:27Z</dcterms:created>
  <dcterms:modified xsi:type="dcterms:W3CDTF">2026-05-04T06:26:34Z</dcterms:modified>
</cp:coreProperties>
</file>